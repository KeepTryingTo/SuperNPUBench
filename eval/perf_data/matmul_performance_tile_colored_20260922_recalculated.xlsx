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性能数据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rlito"/>
      <sz val="11"/>
    </font>
    <font>
      <name val="Arial"/>
      <color rgb="FF333333"/>
      <sz val="10"/>
    </font>
    <font>
      <name val="Arial"/>
      <b val="1"/>
      <color rgb="FF17365D"/>
      <sz val="14"/>
    </font>
    <font>
      <name val="Arial"/>
      <i val="1"/>
      <color rgb="FF666666"/>
      <sz val="9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2E7D32"/>
      <sz val="10"/>
    </font>
    <font>
      <name val="Arial"/>
      <b val="1"/>
      <color rgb="FFC00000"/>
      <sz val="10"/>
    </font>
    <font>
      <name val="Arial"/>
      <b val="1"/>
      <color rgb="FF666666"/>
      <sz val="10"/>
    </font>
    <font>
      <name val="Arial"/>
      <b val="1"/>
      <color rgb="FF375623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E75B6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44546A"/>
      </patternFill>
    </fill>
    <fill>
      <patternFill patternType="solid">
        <fgColor rgb="FFC6E0B4"/>
      </patternFill>
    </fill>
  </fills>
  <borders count="14">
    <border/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17365D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17365D"/>
      </left>
      <top style="medium">
        <color rgb="FF17365D"/>
      </top>
      <bottom style="medium">
        <color rgb="FF17365D"/>
      </bottom>
    </border>
    <border>
      <top style="medium">
        <color rgb="FF17365D"/>
      </top>
      <bottom style="medium">
        <color rgb="FF17365D"/>
      </bottom>
    </border>
    <border>
      <right style="medium">
        <color rgb="FF17365D"/>
      </right>
      <top style="medium">
        <color rgb="FF17365D"/>
      </top>
      <bottom style="medium">
        <color rgb="FF17365D"/>
      </bottom>
    </border>
    <border>
      <top style="thin">
        <color rgb="FFD9E2F3"/>
      </top>
      <bottom style="medium">
        <color rgb="FF44546A"/>
      </bottom>
    </border>
    <border>
      <top style="thin">
        <color rgb="FFD9E2F3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3" fontId="1" fillId="0" borderId="2" applyAlignment="1" pivotButton="0" quotePrefix="0" xfId="0">
      <alignment horizontal="right" vertical="center"/>
    </xf>
    <xf numFmtId="164" fontId="1" fillId="0" borderId="2" applyAlignment="1" pivotButton="0" quotePrefix="0" xfId="0">
      <alignment horizontal="right" vertical="center"/>
    </xf>
    <xf numFmtId="165" fontId="1" fillId="0" borderId="2" applyAlignment="1" pivotButton="0" quotePrefix="0" xfId="0">
      <alignment horizontal="right" vertical="center"/>
    </xf>
    <xf numFmtId="0" fontId="1" fillId="4" borderId="2" applyAlignment="1" pivotButton="0" quotePrefix="0" xfId="0">
      <alignment horizontal="left" vertical="center"/>
    </xf>
    <xf numFmtId="0" fontId="1" fillId="4" borderId="2" applyAlignment="1" pivotButton="0" quotePrefix="0" xfId="0">
      <alignment horizontal="right" vertical="center"/>
    </xf>
    <xf numFmtId="3" fontId="1" fillId="4" borderId="2" applyAlignment="1" pivotButton="0" quotePrefix="0" xfId="0">
      <alignment horizontal="right" vertical="center"/>
    </xf>
    <xf numFmtId="164" fontId="1" fillId="4" borderId="2" applyAlignment="1" pivotButton="0" quotePrefix="0" xfId="0">
      <alignment horizontal="right" vertical="center"/>
    </xf>
    <xf numFmtId="165" fontId="1" fillId="4" borderId="2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right" vertical="center"/>
    </xf>
    <xf numFmtId="3" fontId="1" fillId="5" borderId="2" applyAlignment="1" pivotButton="0" quotePrefix="0" xfId="0">
      <alignment horizontal="right" vertical="center"/>
    </xf>
    <xf numFmtId="164" fontId="1" fillId="5" borderId="2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right" vertical="center"/>
    </xf>
    <xf numFmtId="3" fontId="1" fillId="6" borderId="2" applyAlignment="1" pivotButton="0" quotePrefix="0" xfId="0">
      <alignment horizontal="right" vertical="center"/>
    </xf>
    <xf numFmtId="164" fontId="1" fillId="6" borderId="2" applyAlignment="1" pivotButton="0" quotePrefix="0" xfId="0">
      <alignment horizontal="right" vertical="center"/>
    </xf>
    <xf numFmtId="165" fontId="1" fillId="6" borderId="2" applyAlignment="1" pivotButton="0" quotePrefix="0" xfId="0">
      <alignment horizontal="right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left" vertical="center"/>
    </xf>
    <xf numFmtId="0" fontId="1" fillId="7" borderId="2" applyAlignment="1" pivotButton="0" quotePrefix="0" xfId="0">
      <alignment horizontal="right" vertical="center"/>
    </xf>
    <xf numFmtId="3" fontId="1" fillId="7" borderId="2" applyAlignment="1" pivotButton="0" quotePrefix="0" xfId="0">
      <alignment horizontal="right" vertical="center"/>
    </xf>
    <xf numFmtId="164" fontId="1" fillId="7" borderId="2" applyAlignment="1" pivotButton="0" quotePrefix="0" xfId="0">
      <alignment horizontal="right" vertical="center"/>
    </xf>
    <xf numFmtId="165" fontId="1" fillId="7" borderId="2" applyAlignment="1" pivotButton="0" quotePrefix="0" xfId="0">
      <alignment horizontal="right" vertical="center"/>
    </xf>
    <xf numFmtId="0" fontId="1" fillId="7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right" vertical="center"/>
    </xf>
    <xf numFmtId="3" fontId="1" fillId="2" borderId="2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right" vertical="center"/>
    </xf>
    <xf numFmtId="3" fontId="5" fillId="2" borderId="2" applyAlignment="1" pivotButton="0" quotePrefix="0" xfId="0">
      <alignment horizontal="right" vertical="center"/>
    </xf>
    <xf numFmtId="164" fontId="5" fillId="2" borderId="2" applyAlignment="1" pivotButton="0" quotePrefix="0" xfId="0">
      <alignment horizontal="right" vertical="center"/>
    </xf>
    <xf numFmtId="165" fontId="5" fillId="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right" vertical="center"/>
    </xf>
    <xf numFmtId="3" fontId="5" fillId="2" borderId="8" applyAlignment="1" pivotButton="0" quotePrefix="0" xfId="0">
      <alignment horizontal="right" vertical="center"/>
    </xf>
    <xf numFmtId="164" fontId="5" fillId="2" borderId="8" applyAlignment="1" pivotButton="0" quotePrefix="0" xfId="0">
      <alignment horizontal="right" vertical="center"/>
    </xf>
    <xf numFmtId="165" fontId="5" fillId="2" borderId="8" applyAlignment="1" pivotButton="0" quotePrefix="0" xfId="0">
      <alignment horizontal="right" vertical="center"/>
    </xf>
    <xf numFmtId="0" fontId="5" fillId="2" borderId="9" applyAlignment="1" pivotButton="0" quotePrefix="0" xfId="0">
      <alignment horizontal="center" vertical="center"/>
    </xf>
    <xf numFmtId="0" fontId="1" fillId="8" borderId="2" applyAlignment="1" pivotButton="0" quotePrefix="0" xfId="0">
      <alignment horizontal="left" vertical="center"/>
    </xf>
    <xf numFmtId="0" fontId="1" fillId="8" borderId="2" applyAlignment="1" pivotButton="0" quotePrefix="0" xfId="0">
      <alignment horizontal="right" vertical="center"/>
    </xf>
    <xf numFmtId="3" fontId="1" fillId="8" borderId="2" applyAlignment="1" pivotButton="0" quotePrefix="0" xfId="0">
      <alignment horizontal="right" vertical="center"/>
    </xf>
    <xf numFmtId="164" fontId="1" fillId="8" borderId="2" applyAlignment="1" pivotButton="0" quotePrefix="0" xfId="0">
      <alignment horizontal="right" vertical="center"/>
    </xf>
    <xf numFmtId="165" fontId="1" fillId="8" borderId="2" applyAlignment="1" pivotButton="0" quotePrefix="0" xfId="0">
      <alignment horizontal="right" vertical="center"/>
    </xf>
    <xf numFmtId="0" fontId="1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right" vertical="center"/>
    </xf>
    <xf numFmtId="3" fontId="4" fillId="8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5" fontId="4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4" fillId="8" borderId="10" applyAlignment="1" pivotButton="0" quotePrefix="0" xfId="0">
      <alignment horizontal="left" vertical="center"/>
    </xf>
    <xf numFmtId="0" fontId="4" fillId="8" borderId="10" applyAlignment="1" pivotButton="0" quotePrefix="0" xfId="0">
      <alignment horizontal="right" vertical="center"/>
    </xf>
    <xf numFmtId="3" fontId="4" fillId="8" borderId="10" applyAlignment="1" pivotButton="0" quotePrefix="0" xfId="0">
      <alignment horizontal="right" vertical="center"/>
    </xf>
    <xf numFmtId="164" fontId="4" fillId="8" borderId="10" applyAlignment="1" pivotButton="0" quotePrefix="0" xfId="0">
      <alignment horizontal="right" vertical="center"/>
    </xf>
    <xf numFmtId="165" fontId="4" fillId="8" borderId="10" applyAlignment="1" pivotButton="0" quotePrefix="0" xfId="0">
      <alignment horizontal="right" vertical="center"/>
    </xf>
    <xf numFmtId="0" fontId="4" fillId="8" borderId="1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right" vertical="center"/>
    </xf>
    <xf numFmtId="164" fontId="1" fillId="9" borderId="2" applyAlignment="1" pivotButton="0" quotePrefix="0" xfId="0">
      <alignment horizontal="right" vertical="center"/>
    </xf>
    <xf numFmtId="164" fontId="9" fillId="9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3" fontId="5" fillId="2" borderId="8" applyAlignment="1" pivotButton="0" quotePrefix="0" xfId="0">
      <alignment horizontal="right" vertical="center"/>
    </xf>
    <xf numFmtId="164" fontId="5" fillId="2" borderId="8" applyAlignment="1" pivotButton="0" quotePrefix="0" xfId="0">
      <alignment horizontal="right" vertical="center"/>
    </xf>
    <xf numFmtId="165" fontId="5" fillId="2" borderId="8" applyAlignment="1" pivotButton="0" quotePrefix="0" xfId="0">
      <alignment horizontal="right" vertical="center"/>
    </xf>
    <xf numFmtId="3" fontId="4" fillId="8" borderId="10" applyAlignment="1" pivotButton="0" quotePrefix="0" xfId="0">
      <alignment horizontal="right" vertical="center"/>
    </xf>
    <xf numFmtId="164" fontId="4" fillId="8" borderId="10" applyAlignment="1" pivotButton="0" quotePrefix="0" xfId="0">
      <alignment horizontal="right" vertical="center"/>
    </xf>
    <xf numFmtId="165" fontId="4" fillId="8" borderId="10" applyAlignment="1" pivotButton="0" quotePrefix="0" xfId="0">
      <alignment horizontal="right" vertical="center"/>
    </xf>
    <xf numFmtId="3" fontId="1" fillId="4" borderId="2" applyAlignment="1" pivotButton="0" quotePrefix="0" xfId="0">
      <alignment horizontal="right" vertical="center"/>
    </xf>
    <xf numFmtId="164" fontId="1" fillId="4" borderId="2" applyAlignment="1" pivotButton="0" quotePrefix="0" xfId="0">
      <alignment horizontal="right" vertical="center"/>
    </xf>
    <xf numFmtId="165" fontId="1" fillId="4" borderId="2" applyAlignment="1" pivotButton="0" quotePrefix="0" xfId="0">
      <alignment horizontal="right" vertical="center"/>
    </xf>
    <xf numFmtId="164" fontId="9" fillId="9" borderId="2" applyAlignment="1" pivotButton="0" quotePrefix="0" xfId="0">
      <alignment horizontal="right" vertical="center"/>
    </xf>
    <xf numFmtId="3" fontId="1" fillId="5" borderId="2" applyAlignment="1" pivotButton="0" quotePrefix="0" xfId="0">
      <alignment horizontal="right" vertical="center"/>
    </xf>
    <xf numFmtId="164" fontId="1" fillId="5" borderId="2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3" fontId="1" fillId="6" borderId="2" applyAlignment="1" pivotButton="0" quotePrefix="0" xfId="0">
      <alignment horizontal="right" vertical="center"/>
    </xf>
    <xf numFmtId="164" fontId="1" fillId="6" borderId="2" applyAlignment="1" pivotButton="0" quotePrefix="0" xfId="0">
      <alignment horizontal="right" vertical="center"/>
    </xf>
    <xf numFmtId="165" fontId="1" fillId="6" borderId="2" applyAlignment="1" pivotButton="0" quotePrefix="0" xfId="0">
      <alignment horizontal="right" vertical="center"/>
    </xf>
    <xf numFmtId="3" fontId="1" fillId="7" borderId="2" applyAlignment="1" pivotButton="0" quotePrefix="0" xfId="0">
      <alignment horizontal="right" vertical="center"/>
    </xf>
    <xf numFmtId="164" fontId="1" fillId="7" borderId="2" applyAlignment="1" pivotButton="0" quotePrefix="0" xfId="0">
      <alignment horizontal="right" vertical="center"/>
    </xf>
    <xf numFmtId="165" fontId="1" fillId="7" borderId="2" applyAlignment="1" pivotButton="0" quotePrefix="0" xfId="0">
      <alignment horizontal="right" vertical="center"/>
    </xf>
    <xf numFmtId="3" fontId="1" fillId="0" borderId="2" applyAlignment="1" pivotButton="0" quotePrefix="0" xfId="0">
      <alignment horizontal="right" vertical="center"/>
    </xf>
    <xf numFmtId="164" fontId="1" fillId="0" borderId="2" applyAlignment="1" pivotButton="0" quotePrefix="0" xfId="0">
      <alignment horizontal="right" vertical="center"/>
    </xf>
    <xf numFmtId="165" fontId="1" fillId="0" borderId="2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4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13" customWidth="1" min="8" max="8"/>
    <col width="13" customWidth="1" min="9" max="9"/>
    <col width="13" customWidth="1" min="10" max="10"/>
    <col width="14" customWidth="1" min="11" max="11"/>
    <col width="11" customWidth="1" min="12" max="12"/>
    <col width="19" customWidth="1" min="13" max="13"/>
    <col width="19" customWidth="1" min="14" max="14"/>
    <col width="20" customWidth="1" min="15" max="15"/>
    <col width="20" customWidth="1" min="16" max="16"/>
    <col width="20" customWidth="1" min="17" max="17"/>
    <col width="21" customWidth="1" min="18" max="18"/>
    <col width="22" customWidth="1" min="19" max="19"/>
  </cols>
  <sheetData>
    <row r="1" ht="20" customHeight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24" customHeight="1">
      <c r="A2" s="6" t="inlineStr">
        <is>
          <t>Matmul tile-size performance comparison</t>
        </is>
      </c>
      <c r="B2" s="105" t="n"/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 ht="18" customHeight="1">
      <c r="A4" s="7" t="inlineStr">
        <is>
          <t>统一配置    4 PE    model-main gfsim    SharedTReg ≤ 256 KiB    Cube read 128 B/c    cellreg write 512 B/c</t>
        </is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106" t="n"/>
      <c r="O4" s="106" t="n"/>
      <c r="P4" s="106" t="n"/>
      <c r="Q4" s="106" t="n"/>
      <c r="R4" s="106" t="n"/>
      <c r="S4" s="106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 ht="24" customHeight="1">
      <c r="A6" s="11" t="inlineStr">
        <is>
          <t>Configuration / SharedTile</t>
        </is>
      </c>
      <c r="B6" s="107" t="n"/>
      <c r="C6" s="107" t="n"/>
      <c r="D6" s="107" t="n"/>
      <c r="E6" s="107" t="n"/>
      <c r="F6" s="107" t="n"/>
      <c r="G6" s="107" t="n"/>
      <c r="H6" s="107" t="n"/>
      <c r="I6" s="107" t="n"/>
      <c r="J6" s="107" t="n"/>
      <c r="K6" s="12" t="inlineStr">
        <is>
          <t>Performance</t>
        </is>
      </c>
      <c r="L6" s="107" t="n"/>
      <c r="M6" s="12" t="inlineStr">
        <is>
          <t>Cube bandwidth model</t>
        </is>
      </c>
      <c r="N6" s="107" t="n"/>
      <c r="O6" s="107" t="n"/>
      <c r="P6" s="107" t="n"/>
      <c r="Q6" s="107" t="n"/>
      <c r="R6" s="13" t="inlineStr">
        <is>
          <t>Comparison / Status</t>
        </is>
      </c>
      <c r="S6" s="108" t="n"/>
    </row>
    <row r="7" ht="32" customHeight="1">
      <c r="A7" s="18" t="inlineStr">
        <is>
          <t>dtype</t>
        </is>
      </c>
      <c r="B7" s="19" t="inlineStr">
        <is>
          <t>M</t>
        </is>
      </c>
      <c r="C7" s="19" t="inlineStr">
        <is>
          <t>N</t>
        </is>
      </c>
      <c r="D7" s="19" t="inlineStr">
        <is>
          <t>K</t>
        </is>
      </c>
      <c r="E7" s="19" t="inlineStr">
        <is>
          <t>tM</t>
        </is>
      </c>
      <c r="F7" s="19" t="inlineStr">
        <is>
          <t>tN</t>
        </is>
      </c>
      <c r="G7" s="19" t="inlineStr">
        <is>
          <t>tK</t>
        </is>
      </c>
      <c r="H7" s="19" t="inlineStr">
        <is>
          <t>Tile A(KB)</t>
        </is>
      </c>
      <c r="I7" s="19" t="inlineStr">
        <is>
          <t>Tile B(KB)</t>
        </is>
      </c>
      <c r="J7" s="19" t="inlineStr">
        <is>
          <t>Total(KB)</t>
        </is>
      </c>
      <c r="K7" s="19" t="inlineStr">
        <is>
          <t>cycles</t>
        </is>
      </c>
      <c r="L7" s="19" t="inlineStr">
        <is>
          <t>PMU</t>
        </is>
      </c>
      <c r="M7" s="19" t="inlineStr">
        <is>
          <t>Cube读带宽需求 (B/c)</t>
        </is>
      </c>
      <c r="N7" s="19" t="inlineStr">
        <is>
          <t>Cube写带宽需求 (B/c)</t>
        </is>
      </c>
      <c r="O7" s="19" t="inlineStr">
        <is>
          <t>读带宽约束 Cube利用率</t>
        </is>
      </c>
      <c r="P7" s="19" t="inlineStr">
        <is>
          <t>写带宽约束 Cube利用率</t>
        </is>
      </c>
      <c r="Q7" s="19" t="inlineStr">
        <is>
          <t>带宽约束 Cube利用率</t>
        </is>
      </c>
      <c r="R7" s="19" t="inlineStr">
        <is>
          <t>PMU - 带宽约束 (pp)</t>
        </is>
      </c>
      <c r="S7" s="20" t="inlineStr">
        <is>
          <t>状态</t>
        </is>
      </c>
    </row>
    <row r="8" ht="26" customHeight="1">
      <c r="A8" s="63" t="inlineStr">
        <is>
          <t>▌ S1  —  2048×256×2048</t>
        </is>
      </c>
      <c r="B8" s="64" t="n"/>
      <c r="C8" s="64" t="n"/>
      <c r="D8" s="64" t="n"/>
      <c r="E8" s="64" t="n"/>
      <c r="F8" s="64" t="n"/>
      <c r="G8" s="64" t="n"/>
      <c r="H8" s="64" t="n"/>
      <c r="I8" s="64" t="n"/>
      <c r="J8" s="64" t="n"/>
      <c r="K8" s="109" t="n"/>
      <c r="L8" s="110" t="n"/>
      <c r="M8" s="111" t="n"/>
      <c r="N8" s="111" t="n"/>
      <c r="O8" s="110" t="n"/>
      <c r="P8" s="110" t="n"/>
      <c r="Q8" s="110" t="n"/>
      <c r="R8" s="111" t="n"/>
      <c r="S8" s="68" t="n"/>
    </row>
    <row r="9" ht="23" customHeight="1">
      <c r="A9" s="81" t="inlineStr">
        <is>
          <t>FP32</t>
        </is>
      </c>
      <c r="B9" s="82" t="n"/>
      <c r="C9" s="82" t="n"/>
      <c r="D9" s="82" t="n"/>
      <c r="E9" s="82" t="n"/>
      <c r="F9" s="82" t="n"/>
      <c r="G9" s="82" t="n"/>
      <c r="H9" s="82" t="n"/>
      <c r="I9" s="82" t="n"/>
      <c r="J9" s="82" t="n"/>
      <c r="K9" s="112" t="n"/>
      <c r="L9" s="113" t="n"/>
      <c r="M9" s="114" t="n"/>
      <c r="N9" s="114" t="n"/>
      <c r="O9" s="113" t="n"/>
      <c r="P9" s="113" t="n"/>
      <c r="Q9" s="113" t="n"/>
      <c r="R9" s="114" t="n"/>
      <c r="S9" s="86" t="n"/>
    </row>
    <row r="10" ht="20" customHeight="1">
      <c r="A10" s="27" t="inlineStr">
        <is>
          <t>FP32</t>
        </is>
      </c>
      <c r="B10" s="28" t="n">
        <v>2048</v>
      </c>
      <c r="C10" s="28" t="n">
        <v>256</v>
      </c>
      <c r="D10" s="28" t="n">
        <v>2048</v>
      </c>
      <c r="E10" s="28" t="n">
        <v>128</v>
      </c>
      <c r="F10" s="28" t="n">
        <v>64</v>
      </c>
      <c r="G10" s="28" t="n">
        <v>64</v>
      </c>
      <c r="H10" s="28" t="n">
        <v>32</v>
      </c>
      <c r="I10" s="28" t="n">
        <v>16</v>
      </c>
      <c r="J10" s="28" t="n">
        <v>48</v>
      </c>
      <c r="K10" s="115" t="inlineStr">
        <is>
          <t>—</t>
        </is>
      </c>
      <c r="L10" s="116">
        <f>ROUND(B10*C10*D10/2048/K10*100,1)/100</f>
        <v/>
      </c>
      <c r="M10" s="117">
        <f>IF(OR(E10="",F10="",G10=""),"",((H10+I10)*1024)/(E10*F10*G10/2048))</f>
        <v/>
      </c>
      <c r="N10" s="117">
        <f>IF(OR(E10="",F10="",G10=""),"",(E10*F10*4)/(E10*F10*G10/2048))</f>
        <v/>
      </c>
      <c r="O10" s="116">
        <f>IF(AND(ISNUMBER(M10),M10&gt;0),MIN(1,128/M10),"")</f>
        <v/>
      </c>
      <c r="P10" s="116">
        <f>IF(AND(ISNUMBER(N10),N10&gt;0),MIN(1,512/N10),"")</f>
        <v/>
      </c>
      <c r="Q10" s="116">
        <f>IF(AND(ISNUMBER(O10),ISNUMBER(P10)),MIN(O10,P10),"")</f>
        <v/>
      </c>
      <c r="R10" s="117">
        <f>IF(AND(ISNUMBER(L10),ISNUMBER(Q10)),(L10-Q10)*100,"")</f>
        <v/>
      </c>
      <c r="S10" s="87" t="inlineStr">
        <is>
          <t>DEADLOCK</t>
        </is>
      </c>
      <c r="T10" t="inlineStr">
        <is>
          <t>gfsim 死锁：无新 block 提交；本轮 model-main 9b3a4405 + 8参数(256KB ShareTReg) 2026-09-22</t>
        </is>
      </c>
    </row>
    <row r="11" ht="20" customHeight="1">
      <c r="A11" s="27" t="inlineStr">
        <is>
          <t>FP32</t>
        </is>
      </c>
      <c r="B11" s="28" t="n">
        <v>2048</v>
      </c>
      <c r="C11" s="28" t="n">
        <v>256</v>
      </c>
      <c r="D11" s="28" t="n">
        <v>2048</v>
      </c>
      <c r="E11" s="28" t="n">
        <v>128</v>
      </c>
      <c r="F11" s="28" t="n">
        <v>64</v>
      </c>
      <c r="G11" s="28" t="n">
        <v>128</v>
      </c>
      <c r="H11" s="28" t="n">
        <v>64</v>
      </c>
      <c r="I11" s="28" t="n">
        <v>32</v>
      </c>
      <c r="J11" s="28" t="n">
        <v>96</v>
      </c>
      <c r="K11" s="115" t="n">
        <v>1401270</v>
      </c>
      <c r="L11" s="116">
        <f>ROUND(B11*C11*D11/2048/K11*100,1)/100</f>
        <v/>
      </c>
      <c r="M11" s="117">
        <f>IF(OR(E11="",F11="",G11=""),"",((H11+I11)*1024)/(E11*F11*G11/2048))</f>
        <v/>
      </c>
      <c r="N11" s="117">
        <f>IF(OR(E11="",F11="",G11=""),"",(E11*F11*4)/(E11*F11*G11/2048))</f>
        <v/>
      </c>
      <c r="O11" s="116">
        <f>IF(AND(ISNUMBER(M11),M11&gt;0),MIN(1,128/M11),"")</f>
        <v/>
      </c>
      <c r="P11" s="116">
        <f>IF(AND(ISNUMBER(N11),N11&gt;0),MIN(1,512/N11),"")</f>
        <v/>
      </c>
      <c r="Q11" s="116">
        <f>IF(AND(ISNUMBER(O11),ISNUMBER(P11)),MIN(O11,P11),"")</f>
        <v/>
      </c>
      <c r="R11" s="117">
        <f>IF(AND(ISNUMBER(L11),ISNUMBER(Q11)),(L11-Q11)*100,"")</f>
        <v/>
      </c>
      <c r="S11" s="87" t="inlineStr">
        <is>
          <t>PASS</t>
        </is>
      </c>
      <c r="T11" t="inlineStr">
        <is>
          <t>本轮 model-main 9b3a4405 + 8参数(256KB ShareTReg) 2026-09-22</t>
        </is>
      </c>
    </row>
    <row r="12" ht="20" customHeight="1">
      <c r="A12" s="27" t="inlineStr">
        <is>
          <t>FP32</t>
        </is>
      </c>
      <c r="B12" s="28" t="n">
        <v>2048</v>
      </c>
      <c r="C12" s="28" t="n">
        <v>256</v>
      </c>
      <c r="D12" s="28" t="n">
        <v>2048</v>
      </c>
      <c r="E12" s="28" t="n">
        <v>128</v>
      </c>
      <c r="F12" s="28" t="n">
        <v>64</v>
      </c>
      <c r="G12" s="28" t="n">
        <v>256</v>
      </c>
      <c r="H12" s="28" t="n">
        <v>128</v>
      </c>
      <c r="I12" s="28" t="n">
        <v>64</v>
      </c>
      <c r="J12" s="28" t="n">
        <v>192</v>
      </c>
      <c r="K12" s="115" t="n">
        <v>2656732</v>
      </c>
      <c r="L12" s="116">
        <f>ROUND(B12*C12*D12/2048/K12*100,1)/100</f>
        <v/>
      </c>
      <c r="M12" s="117">
        <f>IF(OR(E12="",F12="",G12=""),"",((H12+I12)*1024)/(E12*F12*G12/2048))</f>
        <v/>
      </c>
      <c r="N12" s="117">
        <f>IF(OR(E12="",F12="",G12=""),"",(E12*F12*4)/(E12*F12*G12/2048))</f>
        <v/>
      </c>
      <c r="O12" s="116">
        <f>IF(AND(ISNUMBER(M12),M12&gt;0),MIN(1,128/M12),"")</f>
        <v/>
      </c>
      <c r="P12" s="116">
        <f>IF(AND(ISNUMBER(N12),N12&gt;0),MIN(1,512/N12),"")</f>
        <v/>
      </c>
      <c r="Q12" s="116">
        <f>IF(AND(ISNUMBER(O12),ISNUMBER(P12)),MIN(O12,P12),"")</f>
        <v/>
      </c>
      <c r="R12" s="117">
        <f>IF(AND(ISNUMBER(L12),ISNUMBER(Q12)),(L12-Q12)*100,"")</f>
        <v/>
      </c>
      <c r="S12" s="87" t="inlineStr">
        <is>
          <t>PASS</t>
        </is>
      </c>
      <c r="T12" t="inlineStr">
        <is>
          <t>本轮 model-main 9b3a4405 + 8参数(256KB ShareTReg) 2026-09-22</t>
        </is>
      </c>
    </row>
    <row r="13" ht="20" customHeight="1">
      <c r="A13" s="27" t="inlineStr">
        <is>
          <t>FP32</t>
        </is>
      </c>
      <c r="B13" s="28" t="n">
        <v>2048</v>
      </c>
      <c r="C13" s="28" t="n">
        <v>256</v>
      </c>
      <c r="D13" s="28" t="n">
        <v>2048</v>
      </c>
      <c r="E13" s="28" t="n">
        <v>128</v>
      </c>
      <c r="F13" s="28" t="n">
        <v>128</v>
      </c>
      <c r="G13" s="28" t="n">
        <v>64</v>
      </c>
      <c r="H13" s="28" t="n">
        <v>32</v>
      </c>
      <c r="I13" s="28" t="n">
        <v>32</v>
      </c>
      <c r="J13" s="28" t="n">
        <v>64</v>
      </c>
      <c r="K13" s="115" t="n">
        <v>935989</v>
      </c>
      <c r="L13" s="116">
        <f>ROUND(B13*C13*D13/2048/K13*100,1)/100</f>
        <v/>
      </c>
      <c r="M13" s="117">
        <f>IF(OR(E13="",F13="",G13=""),"",((H13+I13)*1024)/(E13*F13*G13/2048))</f>
        <v/>
      </c>
      <c r="N13" s="117">
        <f>IF(OR(E13="",F13="",G13=""),"",(E13*F13*4)/(E13*F13*G13/2048))</f>
        <v/>
      </c>
      <c r="O13" s="116">
        <f>IF(AND(ISNUMBER(M13),M13&gt;0),MIN(1,128/M13),"")</f>
        <v/>
      </c>
      <c r="P13" s="116">
        <f>IF(AND(ISNUMBER(N13),N13&gt;0),MIN(1,512/N13),"")</f>
        <v/>
      </c>
      <c r="Q13" s="116">
        <f>IF(AND(ISNUMBER(O13),ISNUMBER(P13)),MIN(O13,P13),"")</f>
        <v/>
      </c>
      <c r="R13" s="117">
        <f>IF(AND(ISNUMBER(L13),ISNUMBER(Q13)),(L13-Q13)*100,"")</f>
        <v/>
      </c>
      <c r="S13" s="87" t="inlineStr">
        <is>
          <t>PASS</t>
        </is>
      </c>
      <c r="T13" t="inlineStr">
        <is>
          <t>本轮 model-main 9b3a4405 + 8参数(256KB ShareTReg) 2026-09-22</t>
        </is>
      </c>
    </row>
    <row r="14" ht="20" customHeight="1">
      <c r="A14" s="27" t="inlineStr">
        <is>
          <t>FP32</t>
        </is>
      </c>
      <c r="B14" s="28" t="n">
        <v>2048</v>
      </c>
      <c r="C14" s="28" t="n">
        <v>256</v>
      </c>
      <c r="D14" s="28" t="n">
        <v>2048</v>
      </c>
      <c r="E14" s="99" t="n">
        <v>128</v>
      </c>
      <c r="F14" s="99" t="n">
        <v>128</v>
      </c>
      <c r="G14" s="99" t="n">
        <v>128</v>
      </c>
      <c r="H14" s="28" t="n">
        <v>64</v>
      </c>
      <c r="I14" s="28" t="n">
        <v>64</v>
      </c>
      <c r="J14" s="28" t="n">
        <v>128</v>
      </c>
      <c r="K14" s="115" t="n">
        <v>950885</v>
      </c>
      <c r="L14" s="118">
        <f>ROUND(B14*C14*D14/2048/K14*100,1)/100</f>
        <v/>
      </c>
      <c r="M14" s="117">
        <f>IF(OR(E14="",F14="",G14=""),"",((H14+I14)*1024)/(E14*F14*G14/2048))</f>
        <v/>
      </c>
      <c r="N14" s="117">
        <f>IF(OR(E14="",F14="",G14=""),"",(E14*F14*4)/(E14*F14*G14/2048))</f>
        <v/>
      </c>
      <c r="O14" s="116">
        <f>IF(AND(ISNUMBER(M14),M14&gt;0),MIN(1,128/M14),"")</f>
        <v/>
      </c>
      <c r="P14" s="116">
        <f>IF(AND(ISNUMBER(N14),N14&gt;0),MIN(1,512/N14),"")</f>
        <v/>
      </c>
      <c r="Q14" s="116">
        <f>IF(AND(ISNUMBER(O14),ISNUMBER(P14)),MIN(O14,P14),"")</f>
        <v/>
      </c>
      <c r="R14" s="117">
        <f>IF(AND(ISNUMBER(L14),ISNUMBER(Q14)),(L14-Q14)*100,"")</f>
        <v/>
      </c>
      <c r="S14" s="87" t="inlineStr">
        <is>
          <t>PASS</t>
        </is>
      </c>
      <c r="T14" t="inlineStr">
        <is>
          <t>本轮 model-main 9b3a4405 + 8参数(256KB ShareTReg) 2026-09-22</t>
        </is>
      </c>
    </row>
    <row r="15" ht="20" customHeight="1">
      <c r="A15" s="27" t="inlineStr">
        <is>
          <t>FP32</t>
        </is>
      </c>
      <c r="B15" s="28" t="n">
        <v>2048</v>
      </c>
      <c r="C15" s="28" t="n">
        <v>256</v>
      </c>
      <c r="D15" s="28" t="n">
        <v>2048</v>
      </c>
      <c r="E15" s="28" t="n">
        <v>128</v>
      </c>
      <c r="F15" s="28" t="n">
        <v>128</v>
      </c>
      <c r="G15" s="28" t="n">
        <v>256</v>
      </c>
      <c r="H15" s="28" t="n">
        <v>128</v>
      </c>
      <c r="I15" s="28" t="n">
        <v>128</v>
      </c>
      <c r="J15" s="28" t="n">
        <v>256</v>
      </c>
      <c r="K15" s="115" t="n">
        <v>1820774</v>
      </c>
      <c r="L15" s="116">
        <f>ROUND(B15*C15*D15/2048/K15*100,1)/100</f>
        <v/>
      </c>
      <c r="M15" s="117">
        <f>IF(OR(E15="",F15="",G15=""),"",((H15+I15)*1024)/(E15*F15*G15/2048))</f>
        <v/>
      </c>
      <c r="N15" s="117">
        <f>IF(OR(E15="",F15="",G15=""),"",(E15*F15*4)/(E15*F15*G15/2048))</f>
        <v/>
      </c>
      <c r="O15" s="116">
        <f>IF(AND(ISNUMBER(M15),M15&gt;0),MIN(1,128/M15),"")</f>
        <v/>
      </c>
      <c r="P15" s="116">
        <f>IF(AND(ISNUMBER(N15),N15&gt;0),MIN(1,512/N15),"")</f>
        <v/>
      </c>
      <c r="Q15" s="116">
        <f>IF(AND(ISNUMBER(O15),ISNUMBER(P15)),MIN(O15,P15),"")</f>
        <v/>
      </c>
      <c r="R15" s="117">
        <f>IF(AND(ISNUMBER(L15),ISNUMBER(Q15)),(L15-Q15)*100,"")</f>
        <v/>
      </c>
      <c r="S15" s="87" t="inlineStr">
        <is>
          <t>PASS</t>
        </is>
      </c>
      <c r="T15" t="inlineStr">
        <is>
          <t>本轮 model-main 9b3a4405 + 8参数(256KB ShareTReg) 2026-09-22</t>
        </is>
      </c>
    </row>
    <row r="16" ht="23" customHeight="1">
      <c r="A16" s="81" t="inlineStr">
        <is>
          <t>BF16</t>
        </is>
      </c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112" t="n"/>
      <c r="L16" s="113" t="n"/>
      <c r="M16" s="114" t="n"/>
      <c r="N16" s="114" t="n"/>
      <c r="O16" s="113" t="n"/>
      <c r="P16" s="113" t="n"/>
      <c r="Q16" s="113" t="n"/>
      <c r="R16" s="114" t="n"/>
      <c r="S16" s="86" t="n"/>
    </row>
    <row r="17" ht="20" customHeight="1">
      <c r="A17" s="33" t="inlineStr">
        <is>
          <t>BF16</t>
        </is>
      </c>
      <c r="B17" s="34" t="n">
        <v>2048</v>
      </c>
      <c r="C17" s="34" t="n">
        <v>256</v>
      </c>
      <c r="D17" s="34" t="n">
        <v>2048</v>
      </c>
      <c r="E17" s="34" t="n">
        <v>128</v>
      </c>
      <c r="F17" s="34" t="n">
        <v>64</v>
      </c>
      <c r="G17" s="34" t="n">
        <v>64</v>
      </c>
      <c r="H17" s="34" t="n">
        <v>16</v>
      </c>
      <c r="I17" s="34" t="n">
        <v>8</v>
      </c>
      <c r="J17" s="34" t="n">
        <v>24</v>
      </c>
      <c r="K17" s="119" t="inlineStr">
        <is>
          <t>—</t>
        </is>
      </c>
      <c r="L17" s="120" t="n"/>
      <c r="M17" s="121">
        <f>IF(OR(E17="",F17="",G17=""),"",((H17+I17)*1024)/(E17*F17*G17/4096))</f>
        <v/>
      </c>
      <c r="N17" s="121">
        <f>IF(OR(E17="",F17="",G17=""),"",(E17*F17*4)/(E17*F17*G17/4096))</f>
        <v/>
      </c>
      <c r="O17" s="120">
        <f>IF(AND(ISNUMBER(M17),M17&gt;0),MIN(1,128/M17),"")</f>
        <v/>
      </c>
      <c r="P17" s="120">
        <f>IF(AND(ISNUMBER(N17),N17&gt;0),MIN(1,512/N17),"")</f>
        <v/>
      </c>
      <c r="Q17" s="120">
        <f>IF(AND(ISNUMBER(O17),ISNUMBER(P17)),MIN(O17,P17),"")</f>
        <v/>
      </c>
      <c r="R17" s="121" t="n"/>
      <c r="S17" s="88" t="inlineStr">
        <is>
          <t>DEADLOCK</t>
        </is>
      </c>
      <c r="T17" t="inlineStr">
        <is>
          <t>gfsim 死锁：无新 block 提交；本轮 model-main 9b3a4405 + 8参数(256KB ShareTReg) 2026-09-22</t>
        </is>
      </c>
    </row>
    <row r="18" ht="20" customHeight="1">
      <c r="A18" s="33" t="inlineStr">
        <is>
          <t>BF16</t>
        </is>
      </c>
      <c r="B18" s="34" t="n">
        <v>2048</v>
      </c>
      <c r="C18" s="34" t="n">
        <v>256</v>
      </c>
      <c r="D18" s="34" t="n">
        <v>2048</v>
      </c>
      <c r="E18" s="34" t="n">
        <v>128</v>
      </c>
      <c r="F18" s="34" t="n">
        <v>64</v>
      </c>
      <c r="G18" s="34" t="n">
        <v>128</v>
      </c>
      <c r="H18" s="34" t="n">
        <v>32</v>
      </c>
      <c r="I18" s="34" t="n">
        <v>16</v>
      </c>
      <c r="J18" s="34" t="n">
        <v>48</v>
      </c>
      <c r="K18" s="119" t="n">
        <v>706499</v>
      </c>
      <c r="L18" s="120">
        <f>ROUND(B18*C18*D18/4096/K18*100,1)/100</f>
        <v/>
      </c>
      <c r="M18" s="121">
        <f>IF(OR(E18="",F18="",G18=""),"",((H18+I18)*1024)/(E18*F18*G18/4096))</f>
        <v/>
      </c>
      <c r="N18" s="121">
        <f>IF(OR(E18="",F18="",G18=""),"",(E18*F18*4)/(E18*F18*G18/4096))</f>
        <v/>
      </c>
      <c r="O18" s="120">
        <f>IF(AND(ISNUMBER(M18),M18&gt;0),MIN(1,128/M18),"")</f>
        <v/>
      </c>
      <c r="P18" s="120">
        <f>IF(AND(ISNUMBER(N18),N18&gt;0),MIN(1,512/N18),"")</f>
        <v/>
      </c>
      <c r="Q18" s="120">
        <f>IF(AND(ISNUMBER(O18),ISNUMBER(P18)),MIN(O18,P18),"")</f>
        <v/>
      </c>
      <c r="R18" s="121">
        <f>IF(AND(ISNUMBER(L18),ISNUMBER(Q18)),(L18-Q18)*100,"")</f>
        <v/>
      </c>
      <c r="S18" s="89" t="inlineStr">
        <is>
          <t>PASS</t>
        </is>
      </c>
      <c r="T18" t="inlineStr">
        <is>
          <t>本轮 model-main 9b3a4405 + 8参数(256KB ShareTReg) 2026-09-22</t>
        </is>
      </c>
    </row>
    <row r="19" ht="20" customHeight="1">
      <c r="A19" s="33" t="inlineStr">
        <is>
          <t>BF16</t>
        </is>
      </c>
      <c r="B19" s="34" t="n">
        <v>2048</v>
      </c>
      <c r="C19" s="34" t="n">
        <v>256</v>
      </c>
      <c r="D19" s="34" t="n">
        <v>2048</v>
      </c>
      <c r="E19" s="34" t="n">
        <v>128</v>
      </c>
      <c r="F19" s="34" t="n">
        <v>64</v>
      </c>
      <c r="G19" s="34" t="n">
        <v>256</v>
      </c>
      <c r="H19" s="34" t="n">
        <v>64</v>
      </c>
      <c r="I19" s="34" t="n">
        <v>32</v>
      </c>
      <c r="J19" s="34" t="n">
        <v>96</v>
      </c>
      <c r="K19" s="119" t="n">
        <v>708161</v>
      </c>
      <c r="L19" s="120">
        <f>ROUND(B19*C19*D19/4096/K19*100,1)/100</f>
        <v/>
      </c>
      <c r="M19" s="121">
        <f>IF(OR(E19="",F19="",G19=""),"",((H19+I19)*1024)/(E19*F19*G19/4096))</f>
        <v/>
      </c>
      <c r="N19" s="121">
        <f>IF(OR(E19="",F19="",G19=""),"",(E19*F19*4)/(E19*F19*G19/4096))</f>
        <v/>
      </c>
      <c r="O19" s="120">
        <f>IF(AND(ISNUMBER(M19),M19&gt;0),MIN(1,128/M19),"")</f>
        <v/>
      </c>
      <c r="P19" s="120">
        <f>IF(AND(ISNUMBER(N19),N19&gt;0),MIN(1,512/N19),"")</f>
        <v/>
      </c>
      <c r="Q19" s="120">
        <f>IF(AND(ISNUMBER(O19),ISNUMBER(P19)),MIN(O19,P19),"")</f>
        <v/>
      </c>
      <c r="R19" s="121">
        <f>IF(AND(ISNUMBER(L19),ISNUMBER(Q19)),(L19-Q19)*100,"")</f>
        <v/>
      </c>
      <c r="S19" s="89" t="inlineStr">
        <is>
          <t>PASS</t>
        </is>
      </c>
      <c r="T19" t="inlineStr">
        <is>
          <t>本轮 model-main 9b3a4405 + 8参数(256KB ShareTReg) 2026-09-22</t>
        </is>
      </c>
    </row>
    <row r="20" ht="20" customHeight="1">
      <c r="A20" s="33" t="inlineStr">
        <is>
          <t>BF16</t>
        </is>
      </c>
      <c r="B20" s="34" t="n">
        <v>2048</v>
      </c>
      <c r="C20" s="34" t="n">
        <v>256</v>
      </c>
      <c r="D20" s="34" t="n">
        <v>2048</v>
      </c>
      <c r="E20" s="34" t="n">
        <v>128</v>
      </c>
      <c r="F20" s="34" t="n">
        <v>128</v>
      </c>
      <c r="G20" s="34" t="n">
        <v>64</v>
      </c>
      <c r="H20" s="34" t="n">
        <v>16</v>
      </c>
      <c r="I20" s="34" t="n">
        <v>16</v>
      </c>
      <c r="J20" s="34" t="n">
        <v>32</v>
      </c>
      <c r="K20" s="119" t="n">
        <v>474584</v>
      </c>
      <c r="L20" s="120" t="n"/>
      <c r="M20" s="121">
        <f>IF(OR(E20="",F20="",G20=""),"",((H20+I20)*1024)/(E20*F20*G20/4096))</f>
        <v/>
      </c>
      <c r="N20" s="121">
        <f>IF(OR(E20="",F20="",G20=""),"",(E20*F20*4)/(E20*F20*G20/4096))</f>
        <v/>
      </c>
      <c r="O20" s="120">
        <f>IF(AND(ISNUMBER(M20),M20&gt;0),MIN(1,128/M20),"")</f>
        <v/>
      </c>
      <c r="P20" s="120">
        <f>IF(AND(ISNUMBER(N20),N20&gt;0),MIN(1,512/N20),"")</f>
        <v/>
      </c>
      <c r="Q20" s="120">
        <f>IF(AND(ISNUMBER(O20),ISNUMBER(P20)),MIN(O20,P20),"")</f>
        <v/>
      </c>
      <c r="R20" s="121" t="n"/>
      <c r="S20" s="88" t="inlineStr">
        <is>
          <t>PASS</t>
        </is>
      </c>
      <c r="T20" t="inlineStr">
        <is>
          <t>本轮 model-main 9b3a4405 + 8参数(256KB ShareTReg) 2026-09-22</t>
        </is>
      </c>
    </row>
    <row r="21" ht="20" customHeight="1">
      <c r="A21" s="33" t="inlineStr">
        <is>
          <t>BF16</t>
        </is>
      </c>
      <c r="B21" s="34" t="n">
        <v>2048</v>
      </c>
      <c r="C21" s="34" t="n">
        <v>256</v>
      </c>
      <c r="D21" s="34" t="n">
        <v>2048</v>
      </c>
      <c r="E21" s="34" t="n">
        <v>128</v>
      </c>
      <c r="F21" s="34" t="n">
        <v>128</v>
      </c>
      <c r="G21" s="34" t="n">
        <v>128</v>
      </c>
      <c r="H21" s="34" t="n">
        <v>32</v>
      </c>
      <c r="I21" s="34" t="n">
        <v>32</v>
      </c>
      <c r="J21" s="34" t="n">
        <v>64</v>
      </c>
      <c r="K21" s="119" t="n">
        <v>474507</v>
      </c>
      <c r="L21" s="120">
        <f>ROUND(B21*C21*D21/4096/K21*100,1)/100</f>
        <v/>
      </c>
      <c r="M21" s="121">
        <f>IF(OR(E21="",F21="",G21=""),"",((H21+I21)*1024)/(E21*F21*G21/4096))</f>
        <v/>
      </c>
      <c r="N21" s="121">
        <f>IF(OR(E21="",F21="",G21=""),"",(E21*F21*4)/(E21*F21*G21/4096))</f>
        <v/>
      </c>
      <c r="O21" s="120">
        <f>IF(AND(ISNUMBER(M21),M21&gt;0),MIN(1,128/M21),"")</f>
        <v/>
      </c>
      <c r="P21" s="120">
        <f>IF(AND(ISNUMBER(N21),N21&gt;0),MIN(1,512/N21),"")</f>
        <v/>
      </c>
      <c r="Q21" s="120">
        <f>IF(AND(ISNUMBER(O21),ISNUMBER(P21)),MIN(O21,P21),"")</f>
        <v/>
      </c>
      <c r="R21" s="121">
        <f>IF(AND(ISNUMBER(L21),ISNUMBER(Q21)),(L21-Q21)*100,"")</f>
        <v/>
      </c>
      <c r="S21" s="89" t="inlineStr">
        <is>
          <t>PASS</t>
        </is>
      </c>
      <c r="T21" t="inlineStr">
        <is>
          <t>本轮 model-main 9b3a4405 + 8参数(256KB ShareTReg) 2026-09-22</t>
        </is>
      </c>
    </row>
    <row r="22" ht="20" customHeight="1">
      <c r="A22" s="33" t="inlineStr">
        <is>
          <t>BF16</t>
        </is>
      </c>
      <c r="B22" s="34" t="n">
        <v>2048</v>
      </c>
      <c r="C22" s="34" t="n">
        <v>256</v>
      </c>
      <c r="D22" s="34" t="n">
        <v>2048</v>
      </c>
      <c r="E22" s="102" t="n">
        <v>128</v>
      </c>
      <c r="F22" s="102" t="n">
        <v>128</v>
      </c>
      <c r="G22" s="102" t="n">
        <v>256</v>
      </c>
      <c r="H22" s="34" t="n">
        <v>64</v>
      </c>
      <c r="I22" s="34" t="n">
        <v>64</v>
      </c>
      <c r="J22" s="34" t="n">
        <v>128</v>
      </c>
      <c r="K22" s="119" t="n">
        <v>482744</v>
      </c>
      <c r="L22" s="118">
        <f>ROUND(B22*C22*D22/4096/K22*100,1)/100</f>
        <v/>
      </c>
      <c r="M22" s="121">
        <f>IF(OR(E22="",F22="",G22=""),"",((H22+I22)*1024)/(E22*F22*G22/4096))</f>
        <v/>
      </c>
      <c r="N22" s="121">
        <f>IF(OR(E22="",F22="",G22=""),"",(E22*F22*4)/(E22*F22*G22/4096))</f>
        <v/>
      </c>
      <c r="O22" s="120">
        <f>IF(AND(ISNUMBER(M22),M22&gt;0),MIN(1,128/M22),"")</f>
        <v/>
      </c>
      <c r="P22" s="120">
        <f>IF(AND(ISNUMBER(N22),N22&gt;0),MIN(1,512/N22),"")</f>
        <v/>
      </c>
      <c r="Q22" s="120">
        <f>IF(AND(ISNUMBER(O22),ISNUMBER(P22)),MIN(O22,P22),"")</f>
        <v/>
      </c>
      <c r="R22" s="121">
        <f>IF(AND(ISNUMBER(L22),ISNUMBER(Q22)),(L22-Q22)*100,"")</f>
        <v/>
      </c>
      <c r="S22" s="89" t="inlineStr">
        <is>
          <t>PASS</t>
        </is>
      </c>
      <c r="T22" t="inlineStr">
        <is>
          <t>本轮 model-main 9b3a4405 + 8参数(256KB ShareTReg) 2026-09-22</t>
        </is>
      </c>
    </row>
    <row r="23" ht="20" customHeight="1">
      <c r="A23" s="33" t="inlineStr">
        <is>
          <t>BF16</t>
        </is>
      </c>
      <c r="B23" s="34" t="n">
        <v>2048</v>
      </c>
      <c r="C23" s="34" t="n">
        <v>256</v>
      </c>
      <c r="D23" s="34" t="n">
        <v>2048</v>
      </c>
      <c r="E23" s="34" t="n">
        <v>128</v>
      </c>
      <c r="F23" s="34" t="n">
        <v>256</v>
      </c>
      <c r="G23" s="34" t="n">
        <v>64</v>
      </c>
      <c r="H23" s="34" t="n">
        <v>16</v>
      </c>
      <c r="I23" s="34" t="n">
        <v>32</v>
      </c>
      <c r="J23" s="34" t="n">
        <v>48</v>
      </c>
      <c r="K23" s="119" t="n">
        <v>358488</v>
      </c>
      <c r="L23" s="120">
        <f>ROUND(B23*C23*D23/4096/K23*100,1)/100</f>
        <v/>
      </c>
      <c r="M23" s="121">
        <f>IF(OR(E23="",F23="",G23=""),"",((H23+I23)*1024)/(E23*F23*G23/4096))</f>
        <v/>
      </c>
      <c r="N23" s="121">
        <f>IF(OR(E23="",F23="",G23=""),"",(E23*F23*4)/(E23*F23*G23/4096))</f>
        <v/>
      </c>
      <c r="O23" s="120">
        <f>IF(AND(ISNUMBER(M23),M23&gt;0),MIN(1,128/M23),"")</f>
        <v/>
      </c>
      <c r="P23" s="120">
        <f>IF(AND(ISNUMBER(N23),N23&gt;0),MIN(1,512/N23),"")</f>
        <v/>
      </c>
      <c r="Q23" s="120">
        <f>IF(AND(ISNUMBER(O23),ISNUMBER(P23)),MIN(O23,P23),"")</f>
        <v/>
      </c>
      <c r="R23" s="121">
        <f>IF(AND(ISNUMBER(L23),ISNUMBER(Q23)),(L23-Q23)*100,"")</f>
        <v/>
      </c>
      <c r="S23" s="89" t="inlineStr">
        <is>
          <t>PASS</t>
        </is>
      </c>
      <c r="T23" t="inlineStr">
        <is>
          <t>本轮 model-main 9b3a4405 + 8参数(256KB ShareTReg) 2026-09-22</t>
        </is>
      </c>
    </row>
    <row r="24" ht="20" customHeight="1">
      <c r="A24" s="33" t="inlineStr">
        <is>
          <t>BF16</t>
        </is>
      </c>
      <c r="B24" s="34" t="n">
        <v>2048</v>
      </c>
      <c r="C24" s="34" t="n">
        <v>256</v>
      </c>
      <c r="D24" s="34" t="n">
        <v>2048</v>
      </c>
      <c r="E24" s="34" t="n">
        <v>128</v>
      </c>
      <c r="F24" s="34" t="n">
        <v>256</v>
      </c>
      <c r="G24" s="34" t="n">
        <v>128</v>
      </c>
      <c r="H24" s="34" t="n">
        <v>32</v>
      </c>
      <c r="I24" s="34" t="n">
        <v>64</v>
      </c>
      <c r="J24" s="34" t="n">
        <v>96</v>
      </c>
      <c r="K24" s="119" t="n">
        <v>358953</v>
      </c>
      <c r="L24" s="120">
        <f>ROUND(B24*C24*D24/4096/K24*100,1)/100</f>
        <v/>
      </c>
      <c r="M24" s="121">
        <f>IF(OR(E24="",F24="",G24=""),"",((H24+I24)*1024)/(E24*F24*G24/4096))</f>
        <v/>
      </c>
      <c r="N24" s="121">
        <f>IF(OR(E24="",F24="",G24=""),"",(E24*F24*4)/(E24*F24*G24/4096))</f>
        <v/>
      </c>
      <c r="O24" s="120">
        <f>IF(AND(ISNUMBER(M24),M24&gt;0),MIN(1,128/M24),"")</f>
        <v/>
      </c>
      <c r="P24" s="120">
        <f>IF(AND(ISNUMBER(N24),N24&gt;0),MIN(1,512/N24),"")</f>
        <v/>
      </c>
      <c r="Q24" s="120">
        <f>IF(AND(ISNUMBER(O24),ISNUMBER(P24)),MIN(O24,P24),"")</f>
        <v/>
      </c>
      <c r="R24" s="121">
        <f>IF(AND(ISNUMBER(L24),ISNUMBER(Q24)),(L24-Q24)*100,"")</f>
        <v/>
      </c>
      <c r="S24" s="89" t="inlineStr">
        <is>
          <t>PASS</t>
        </is>
      </c>
      <c r="T24" t="inlineStr">
        <is>
          <t>本轮 model-main 9b3a4405 + 8参数(256KB ShareTReg) 2026-09-22</t>
        </is>
      </c>
    </row>
    <row r="25" ht="20" customHeight="1">
      <c r="A25" s="33" t="inlineStr">
        <is>
          <t>BF16</t>
        </is>
      </c>
      <c r="B25" s="34" t="n">
        <v>2048</v>
      </c>
      <c r="C25" s="34" t="n">
        <v>256</v>
      </c>
      <c r="D25" s="34" t="n">
        <v>2048</v>
      </c>
      <c r="E25" s="34" t="n">
        <v>128</v>
      </c>
      <c r="F25" s="34" t="n">
        <v>256</v>
      </c>
      <c r="G25" s="34" t="n">
        <v>256</v>
      </c>
      <c r="H25" s="34" t="n">
        <v>64</v>
      </c>
      <c r="I25" s="34" t="n">
        <v>128</v>
      </c>
      <c r="J25" s="34" t="n">
        <v>192</v>
      </c>
      <c r="K25" s="119" t="n">
        <v>604386</v>
      </c>
      <c r="L25" s="120">
        <f>ROUND(B25*C25*D25/4096/K25*100,1)/100</f>
        <v/>
      </c>
      <c r="M25" s="121">
        <f>IF(OR(E25="",F25="",G25=""),"",((H25+I25)*1024)/(E25*F25*G25/4096))</f>
        <v/>
      </c>
      <c r="N25" s="121">
        <f>IF(OR(E25="",F25="",G25=""),"",(E25*F25*4)/(E25*F25*G25/4096))</f>
        <v/>
      </c>
      <c r="O25" s="120">
        <f>IF(AND(ISNUMBER(M25),M25&gt;0),MIN(1,128/M25),"")</f>
        <v/>
      </c>
      <c r="P25" s="120">
        <f>IF(AND(ISNUMBER(N25),N25&gt;0),MIN(1,512/N25),"")</f>
        <v/>
      </c>
      <c r="Q25" s="120">
        <f>IF(AND(ISNUMBER(O25),ISNUMBER(P25)),MIN(O25,P25),"")</f>
        <v/>
      </c>
      <c r="R25" s="121">
        <f>IF(AND(ISNUMBER(L25),ISNUMBER(Q25)),(L25-Q25)*100,"")</f>
        <v/>
      </c>
      <c r="S25" s="89" t="inlineStr">
        <is>
          <t>PASS</t>
        </is>
      </c>
      <c r="T25" t="inlineStr">
        <is>
          <t>本轮 model-main 9b3a4405 + 8参数(256KB ShareTReg) 2026-09-22</t>
        </is>
      </c>
    </row>
    <row r="26" ht="23" customHeight="1">
      <c r="A26" s="81" t="inlineStr">
        <is>
          <t>FP16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112" t="n"/>
      <c r="L26" s="113" t="n"/>
      <c r="M26" s="114" t="n"/>
      <c r="N26" s="114" t="n"/>
      <c r="O26" s="113" t="n"/>
      <c r="P26" s="113" t="n"/>
      <c r="Q26" s="113" t="n"/>
      <c r="R26" s="114" t="n"/>
      <c r="S26" s="86" t="n"/>
    </row>
    <row r="27" ht="20" customHeight="1">
      <c r="A27" s="39" t="inlineStr">
        <is>
          <t>FP16</t>
        </is>
      </c>
      <c r="B27" s="40" t="n">
        <v>2048</v>
      </c>
      <c r="C27" s="40" t="n">
        <v>256</v>
      </c>
      <c r="D27" s="40" t="n">
        <v>2048</v>
      </c>
      <c r="E27" s="40" t="n">
        <v>128</v>
      </c>
      <c r="F27" s="40" t="n">
        <v>64</v>
      </c>
      <c r="G27" s="40" t="n">
        <v>64</v>
      </c>
      <c r="H27" s="40" t="n">
        <v>16</v>
      </c>
      <c r="I27" s="40" t="n">
        <v>8</v>
      </c>
      <c r="J27" s="40" t="n">
        <v>24</v>
      </c>
      <c r="K27" s="122" t="inlineStr">
        <is>
          <t>—</t>
        </is>
      </c>
      <c r="L27" s="123" t="n"/>
      <c r="M27" s="124">
        <f>IF(OR(E27="",F27="",G27=""),"",((H27+I27)*1024)/(E27*F27*G27/4096))</f>
        <v/>
      </c>
      <c r="N27" s="124">
        <f>IF(OR(E27="",F27="",G27=""),"",(E27*F27*4)/(E27*F27*G27/4096))</f>
        <v/>
      </c>
      <c r="O27" s="123">
        <f>IF(AND(ISNUMBER(M27),M27&gt;0),MIN(1,128/M27),"")</f>
        <v/>
      </c>
      <c r="P27" s="123">
        <f>IF(AND(ISNUMBER(N27),N27&gt;0),MIN(1,512/N27),"")</f>
        <v/>
      </c>
      <c r="Q27" s="123">
        <f>IF(AND(ISNUMBER(O27),ISNUMBER(P27)),MIN(O27,P27),"")</f>
        <v/>
      </c>
      <c r="R27" s="124" t="n"/>
      <c r="S27" s="90" t="inlineStr">
        <is>
          <t>DEADLOCK</t>
        </is>
      </c>
      <c r="T27" t="inlineStr">
        <is>
          <t>gfsim 死锁：无新 block 提交；本轮 model-main 9b3a4405 + 8参数(256KB ShareTReg) 2026-09-22</t>
        </is>
      </c>
    </row>
    <row r="28" ht="20" customHeight="1">
      <c r="A28" s="39" t="inlineStr">
        <is>
          <t>FP16</t>
        </is>
      </c>
      <c r="B28" s="40" t="n">
        <v>2048</v>
      </c>
      <c r="C28" s="40" t="n">
        <v>256</v>
      </c>
      <c r="D28" s="40" t="n">
        <v>2048</v>
      </c>
      <c r="E28" s="40" t="n">
        <v>128</v>
      </c>
      <c r="F28" s="40" t="n">
        <v>64</v>
      </c>
      <c r="G28" s="40" t="n">
        <v>128</v>
      </c>
      <c r="H28" s="40" t="n">
        <v>32</v>
      </c>
      <c r="I28" s="40" t="n">
        <v>16</v>
      </c>
      <c r="J28" s="40" t="n">
        <v>48</v>
      </c>
      <c r="K28" s="122" t="n">
        <v>706499</v>
      </c>
      <c r="L28" s="123">
        <f>ROUND(B28*C28*D28/4096/K28*100,1)/100</f>
        <v/>
      </c>
      <c r="M28" s="124">
        <f>IF(OR(E28="",F28="",G28=""),"",((H28+I28)*1024)/(E28*F28*G28/4096))</f>
        <v/>
      </c>
      <c r="N28" s="124">
        <f>IF(OR(E28="",F28="",G28=""),"",(E28*F28*4)/(E28*F28*G28/4096))</f>
        <v/>
      </c>
      <c r="O28" s="123">
        <f>IF(AND(ISNUMBER(M28),M28&gt;0),MIN(1,128/M28),"")</f>
        <v/>
      </c>
      <c r="P28" s="123">
        <f>IF(AND(ISNUMBER(N28),N28&gt;0),MIN(1,512/N28),"")</f>
        <v/>
      </c>
      <c r="Q28" s="123">
        <f>IF(AND(ISNUMBER(O28),ISNUMBER(P28)),MIN(O28,P28),"")</f>
        <v/>
      </c>
      <c r="R28" s="124">
        <f>IF(AND(ISNUMBER(L28),ISNUMBER(Q28)),(L28-Q28)*100,"")</f>
        <v/>
      </c>
      <c r="S28" s="91" t="inlineStr">
        <is>
          <t>PASS</t>
        </is>
      </c>
      <c r="T28" t="inlineStr">
        <is>
          <t>本轮 model-main 9b3a4405 + 8参数(256KB ShareTReg) 2026-09-22</t>
        </is>
      </c>
    </row>
    <row r="29" ht="20" customHeight="1">
      <c r="A29" s="39" t="inlineStr">
        <is>
          <t>FP16</t>
        </is>
      </c>
      <c r="B29" s="40" t="n">
        <v>2048</v>
      </c>
      <c r="C29" s="40" t="n">
        <v>256</v>
      </c>
      <c r="D29" s="40" t="n">
        <v>2048</v>
      </c>
      <c r="E29" s="40" t="n">
        <v>128</v>
      </c>
      <c r="F29" s="40" t="n">
        <v>64</v>
      </c>
      <c r="G29" s="40" t="n">
        <v>256</v>
      </c>
      <c r="H29" s="40" t="n">
        <v>64</v>
      </c>
      <c r="I29" s="40" t="n">
        <v>32</v>
      </c>
      <c r="J29" s="40" t="n">
        <v>96</v>
      </c>
      <c r="K29" s="122" t="n">
        <v>708161</v>
      </c>
      <c r="L29" s="123">
        <f>ROUND(B29*C29*D29/4096/K29*100,1)/100</f>
        <v/>
      </c>
      <c r="M29" s="124">
        <f>IF(OR(E29="",F29="",G29=""),"",((H29+I29)*1024)/(E29*F29*G29/4096))</f>
        <v/>
      </c>
      <c r="N29" s="124">
        <f>IF(OR(E29="",F29="",G29=""),"",(E29*F29*4)/(E29*F29*G29/4096))</f>
        <v/>
      </c>
      <c r="O29" s="123">
        <f>IF(AND(ISNUMBER(M29),M29&gt;0),MIN(1,128/M29),"")</f>
        <v/>
      </c>
      <c r="P29" s="123">
        <f>IF(AND(ISNUMBER(N29),N29&gt;0),MIN(1,512/N29),"")</f>
        <v/>
      </c>
      <c r="Q29" s="123">
        <f>IF(AND(ISNUMBER(O29),ISNUMBER(P29)),MIN(O29,P29),"")</f>
        <v/>
      </c>
      <c r="R29" s="124">
        <f>IF(AND(ISNUMBER(L29),ISNUMBER(Q29)),(L29-Q29)*100,"")</f>
        <v/>
      </c>
      <c r="S29" s="91" t="inlineStr">
        <is>
          <t>PASS</t>
        </is>
      </c>
      <c r="T29" t="inlineStr">
        <is>
          <t>本轮 model-main 9b3a4405 + 8参数(256KB ShareTReg) 2026-09-22</t>
        </is>
      </c>
    </row>
    <row r="30" ht="20" customHeight="1">
      <c r="A30" s="39" t="inlineStr">
        <is>
          <t>FP16</t>
        </is>
      </c>
      <c r="B30" s="40" t="n">
        <v>2048</v>
      </c>
      <c r="C30" s="40" t="n">
        <v>256</v>
      </c>
      <c r="D30" s="40" t="n">
        <v>2048</v>
      </c>
      <c r="E30" s="40" t="n">
        <v>128</v>
      </c>
      <c r="F30" s="40" t="n">
        <v>128</v>
      </c>
      <c r="G30" s="40" t="n">
        <v>64</v>
      </c>
      <c r="H30" s="40" t="n">
        <v>16</v>
      </c>
      <c r="I30" s="40" t="n">
        <v>16</v>
      </c>
      <c r="J30" s="40" t="n">
        <v>32</v>
      </c>
      <c r="K30" s="122" t="n">
        <v>474584</v>
      </c>
      <c r="L30" s="123" t="n"/>
      <c r="M30" s="124">
        <f>IF(OR(E30="",F30="",G30=""),"",((H30+I30)*1024)/(E30*F30*G30/4096))</f>
        <v/>
      </c>
      <c r="N30" s="124">
        <f>IF(OR(E30="",F30="",G30=""),"",(E30*F30*4)/(E30*F30*G30/4096))</f>
        <v/>
      </c>
      <c r="O30" s="123">
        <f>IF(AND(ISNUMBER(M30),M30&gt;0),MIN(1,128/M30),"")</f>
        <v/>
      </c>
      <c r="P30" s="123">
        <f>IF(AND(ISNUMBER(N30),N30&gt;0),MIN(1,512/N30),"")</f>
        <v/>
      </c>
      <c r="Q30" s="123">
        <f>IF(AND(ISNUMBER(O30),ISNUMBER(P30)),MIN(O30,P30),"")</f>
        <v/>
      </c>
      <c r="R30" s="124" t="n"/>
      <c r="S30" s="90" t="inlineStr">
        <is>
          <t>PASS</t>
        </is>
      </c>
      <c r="T30" t="inlineStr">
        <is>
          <t>本轮 model-main 9b3a4405 + 8参数(256KB ShareTReg) 2026-09-22</t>
        </is>
      </c>
    </row>
    <row r="31" ht="20" customHeight="1">
      <c r="A31" s="39" t="inlineStr">
        <is>
          <t>FP16</t>
        </is>
      </c>
      <c r="B31" s="40" t="n">
        <v>2048</v>
      </c>
      <c r="C31" s="40" t="n">
        <v>256</v>
      </c>
      <c r="D31" s="40" t="n">
        <v>2048</v>
      </c>
      <c r="E31" s="40" t="n">
        <v>128</v>
      </c>
      <c r="F31" s="40" t="n">
        <v>128</v>
      </c>
      <c r="G31" s="40" t="n">
        <v>128</v>
      </c>
      <c r="H31" s="40" t="n">
        <v>32</v>
      </c>
      <c r="I31" s="40" t="n">
        <v>32</v>
      </c>
      <c r="J31" s="40" t="n">
        <v>64</v>
      </c>
      <c r="K31" s="122" t="n">
        <v>474507</v>
      </c>
      <c r="L31" s="123">
        <f>ROUND(B31*C31*D31/4096/K31*100,1)/100</f>
        <v/>
      </c>
      <c r="M31" s="124">
        <f>IF(OR(E31="",F31="",G31=""),"",((H31+I31)*1024)/(E31*F31*G31/4096))</f>
        <v/>
      </c>
      <c r="N31" s="124">
        <f>IF(OR(E31="",F31="",G31=""),"",(E31*F31*4)/(E31*F31*G31/4096))</f>
        <v/>
      </c>
      <c r="O31" s="123">
        <f>IF(AND(ISNUMBER(M31),M31&gt;0),MIN(1,128/M31),"")</f>
        <v/>
      </c>
      <c r="P31" s="123">
        <f>IF(AND(ISNUMBER(N31),N31&gt;0),MIN(1,512/N31),"")</f>
        <v/>
      </c>
      <c r="Q31" s="123">
        <f>IF(AND(ISNUMBER(O31),ISNUMBER(P31)),MIN(O31,P31),"")</f>
        <v/>
      </c>
      <c r="R31" s="124">
        <f>IF(AND(ISNUMBER(L31),ISNUMBER(Q31)),(L31-Q31)*100,"")</f>
        <v/>
      </c>
      <c r="S31" s="91" t="inlineStr">
        <is>
          <t>PASS</t>
        </is>
      </c>
      <c r="T31" t="inlineStr">
        <is>
          <t>本轮 model-main 9b3a4405 + 8参数(256KB ShareTReg) 2026-09-22</t>
        </is>
      </c>
    </row>
    <row r="32" ht="20" customHeight="1">
      <c r="A32" s="39" t="inlineStr">
        <is>
          <t>FP16</t>
        </is>
      </c>
      <c r="B32" s="40" t="n">
        <v>2048</v>
      </c>
      <c r="C32" s="40" t="n">
        <v>256</v>
      </c>
      <c r="D32" s="40" t="n">
        <v>2048</v>
      </c>
      <c r="E32" s="103" t="n">
        <v>128</v>
      </c>
      <c r="F32" s="103" t="n">
        <v>128</v>
      </c>
      <c r="G32" s="103" t="n">
        <v>256</v>
      </c>
      <c r="H32" s="40" t="n">
        <v>64</v>
      </c>
      <c r="I32" s="40" t="n">
        <v>64</v>
      </c>
      <c r="J32" s="40" t="n">
        <v>128</v>
      </c>
      <c r="K32" s="122" t="n">
        <v>482744</v>
      </c>
      <c r="L32" s="118">
        <f>ROUND(B32*C32*D32/4096/K32*100,1)/100</f>
        <v/>
      </c>
      <c r="M32" s="124">
        <f>IF(OR(E32="",F32="",G32=""),"",((H32+I32)*1024)/(E32*F32*G32/4096))</f>
        <v/>
      </c>
      <c r="N32" s="124">
        <f>IF(OR(E32="",F32="",G32=""),"",(E32*F32*4)/(E32*F32*G32/4096))</f>
        <v/>
      </c>
      <c r="O32" s="123">
        <f>IF(AND(ISNUMBER(M32),M32&gt;0),MIN(1,128/M32),"")</f>
        <v/>
      </c>
      <c r="P32" s="123">
        <f>IF(AND(ISNUMBER(N32),N32&gt;0),MIN(1,512/N32),"")</f>
        <v/>
      </c>
      <c r="Q32" s="123">
        <f>IF(AND(ISNUMBER(O32),ISNUMBER(P32)),MIN(O32,P32),"")</f>
        <v/>
      </c>
      <c r="R32" s="124">
        <f>IF(AND(ISNUMBER(L32),ISNUMBER(Q32)),(L32-Q32)*100,"")</f>
        <v/>
      </c>
      <c r="S32" s="91" t="inlineStr">
        <is>
          <t>PASS</t>
        </is>
      </c>
      <c r="T32" t="inlineStr">
        <is>
          <t>本轮 model-main 9b3a4405 + 8参数(256KB ShareTReg) 2026-09-22</t>
        </is>
      </c>
    </row>
    <row r="33" ht="20" customHeight="1">
      <c r="A33" s="39" t="inlineStr">
        <is>
          <t>FP16</t>
        </is>
      </c>
      <c r="B33" s="40" t="n">
        <v>2048</v>
      </c>
      <c r="C33" s="40" t="n">
        <v>256</v>
      </c>
      <c r="D33" s="40" t="n">
        <v>2048</v>
      </c>
      <c r="E33" s="40" t="n">
        <v>128</v>
      </c>
      <c r="F33" s="40" t="n">
        <v>256</v>
      </c>
      <c r="G33" s="40" t="n">
        <v>64</v>
      </c>
      <c r="H33" s="40" t="n">
        <v>16</v>
      </c>
      <c r="I33" s="40" t="n">
        <v>32</v>
      </c>
      <c r="J33" s="40" t="n">
        <v>48</v>
      </c>
      <c r="K33" s="122" t="n">
        <v>358488</v>
      </c>
      <c r="L33" s="123">
        <f>ROUND(B33*C33*D33/4096/K33*100,1)/100</f>
        <v/>
      </c>
      <c r="M33" s="124">
        <f>IF(OR(E33="",F33="",G33=""),"",((H33+I33)*1024)/(E33*F33*G33/4096))</f>
        <v/>
      </c>
      <c r="N33" s="124">
        <f>IF(OR(E33="",F33="",G33=""),"",(E33*F33*4)/(E33*F33*G33/4096))</f>
        <v/>
      </c>
      <c r="O33" s="123">
        <f>IF(AND(ISNUMBER(M33),M33&gt;0),MIN(1,128/M33),"")</f>
        <v/>
      </c>
      <c r="P33" s="123">
        <f>IF(AND(ISNUMBER(N33),N33&gt;0),MIN(1,512/N33),"")</f>
        <v/>
      </c>
      <c r="Q33" s="123">
        <f>IF(AND(ISNUMBER(O33),ISNUMBER(P33)),MIN(O33,P33),"")</f>
        <v/>
      </c>
      <c r="R33" s="124">
        <f>IF(AND(ISNUMBER(L33),ISNUMBER(Q33)),(L33-Q33)*100,"")</f>
        <v/>
      </c>
      <c r="S33" s="91" t="inlineStr">
        <is>
          <t>PASS</t>
        </is>
      </c>
      <c r="T33" t="inlineStr">
        <is>
          <t>本轮 model-main 9b3a4405 + 8参数(256KB ShareTReg) 2026-09-22</t>
        </is>
      </c>
    </row>
    <row r="34" ht="20" customHeight="1">
      <c r="A34" s="39" t="inlineStr">
        <is>
          <t>FP16</t>
        </is>
      </c>
      <c r="B34" s="40" t="n">
        <v>2048</v>
      </c>
      <c r="C34" s="40" t="n">
        <v>256</v>
      </c>
      <c r="D34" s="40" t="n">
        <v>2048</v>
      </c>
      <c r="E34" s="40" t="n">
        <v>128</v>
      </c>
      <c r="F34" s="40" t="n">
        <v>256</v>
      </c>
      <c r="G34" s="40" t="n">
        <v>128</v>
      </c>
      <c r="H34" s="40" t="n">
        <v>32</v>
      </c>
      <c r="I34" s="40" t="n">
        <v>64</v>
      </c>
      <c r="J34" s="40" t="n">
        <v>96</v>
      </c>
      <c r="K34" s="122" t="n">
        <v>358953</v>
      </c>
      <c r="L34" s="123">
        <f>ROUND(B34*C34*D34/4096/K34*100,1)/100</f>
        <v/>
      </c>
      <c r="M34" s="124">
        <f>IF(OR(E34="",F34="",G34=""),"",((H34+I34)*1024)/(E34*F34*G34/4096))</f>
        <v/>
      </c>
      <c r="N34" s="124">
        <f>IF(OR(E34="",F34="",G34=""),"",(E34*F34*4)/(E34*F34*G34/4096))</f>
        <v/>
      </c>
      <c r="O34" s="123">
        <f>IF(AND(ISNUMBER(M34),M34&gt;0),MIN(1,128/M34),"")</f>
        <v/>
      </c>
      <c r="P34" s="123">
        <f>IF(AND(ISNUMBER(N34),N34&gt;0),MIN(1,512/N34),"")</f>
        <v/>
      </c>
      <c r="Q34" s="123">
        <f>IF(AND(ISNUMBER(O34),ISNUMBER(P34)),MIN(O34,P34),"")</f>
        <v/>
      </c>
      <c r="R34" s="124">
        <f>IF(AND(ISNUMBER(L34),ISNUMBER(Q34)),(L34-Q34)*100,"")</f>
        <v/>
      </c>
      <c r="S34" s="91" t="inlineStr">
        <is>
          <t>PASS</t>
        </is>
      </c>
      <c r="T34" t="inlineStr">
        <is>
          <t>本轮 model-main 9b3a4405 + 8参数(256KB ShareTReg) 2026-09-22</t>
        </is>
      </c>
    </row>
    <row r="35" ht="20" customHeight="1">
      <c r="A35" s="39" t="inlineStr">
        <is>
          <t>FP16</t>
        </is>
      </c>
      <c r="B35" s="40" t="n">
        <v>2048</v>
      </c>
      <c r="C35" s="40" t="n">
        <v>256</v>
      </c>
      <c r="D35" s="40" t="n">
        <v>2048</v>
      </c>
      <c r="E35" s="40" t="n">
        <v>128</v>
      </c>
      <c r="F35" s="40" t="n">
        <v>256</v>
      </c>
      <c r="G35" s="40" t="n">
        <v>256</v>
      </c>
      <c r="H35" s="40" t="n">
        <v>64</v>
      </c>
      <c r="I35" s="40" t="n">
        <v>128</v>
      </c>
      <c r="J35" s="40" t="n">
        <v>192</v>
      </c>
      <c r="K35" s="122" t="n">
        <v>604386</v>
      </c>
      <c r="L35" s="123">
        <f>ROUND(B35*C35*D35/4096/K35*100,1)/100</f>
        <v/>
      </c>
      <c r="M35" s="124">
        <f>IF(OR(E35="",F35="",G35=""),"",((H35+I35)*1024)/(E35*F35*G35/4096))</f>
        <v/>
      </c>
      <c r="N35" s="124">
        <f>IF(OR(E35="",F35="",G35=""),"",(E35*F35*4)/(E35*F35*G35/4096))</f>
        <v/>
      </c>
      <c r="O35" s="123">
        <f>IF(AND(ISNUMBER(M35),M35&gt;0),MIN(1,128/M35),"")</f>
        <v/>
      </c>
      <c r="P35" s="123">
        <f>IF(AND(ISNUMBER(N35),N35&gt;0),MIN(1,512/N35),"")</f>
        <v/>
      </c>
      <c r="Q35" s="123">
        <f>IF(AND(ISNUMBER(O35),ISNUMBER(P35)),MIN(O35,P35),"")</f>
        <v/>
      </c>
      <c r="R35" s="124">
        <f>IF(AND(ISNUMBER(L35),ISNUMBER(Q35)),(L35-Q35)*100,"")</f>
        <v/>
      </c>
      <c r="S35" s="91" t="inlineStr">
        <is>
          <t>PASS</t>
        </is>
      </c>
      <c r="T35" t="inlineStr">
        <is>
          <t>本轮 model-main 9b3a4405 + 8参数(256KB ShareTReg) 2026-09-22</t>
        </is>
      </c>
    </row>
    <row r="36" ht="23" customHeight="1">
      <c r="A36" s="81" t="inlineStr">
        <is>
          <t>FP8</t>
        </is>
      </c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112" t="n"/>
      <c r="L36" s="113" t="n"/>
      <c r="M36" s="114" t="n"/>
      <c r="N36" s="114" t="n"/>
      <c r="O36" s="113" t="n"/>
      <c r="P36" s="113" t="n"/>
      <c r="Q36" s="113" t="n"/>
      <c r="R36" s="114" t="n"/>
      <c r="S36" s="86" t="n"/>
    </row>
    <row r="37" ht="20" customHeight="1">
      <c r="A37" s="45" t="inlineStr">
        <is>
          <t>FP8</t>
        </is>
      </c>
      <c r="B37" s="46" t="n">
        <v>2048</v>
      </c>
      <c r="C37" s="46" t="n">
        <v>256</v>
      </c>
      <c r="D37" s="46" t="n">
        <v>2048</v>
      </c>
      <c r="E37" s="46" t="n">
        <v>128</v>
      </c>
      <c r="F37" s="46" t="n">
        <v>64</v>
      </c>
      <c r="G37" s="46" t="n">
        <v>256</v>
      </c>
      <c r="H37" s="46" t="n">
        <v>32</v>
      </c>
      <c r="I37" s="46" t="n">
        <v>16</v>
      </c>
      <c r="J37" s="46" t="n">
        <v>48</v>
      </c>
      <c r="K37" s="125" t="n">
        <v>359632</v>
      </c>
      <c r="L37" s="126">
        <f>ROUND(B37*C37*D37/8192/K37*100,1)/100</f>
        <v/>
      </c>
      <c r="M37" s="127">
        <f>IF(OR(E37="",F37="",G37=""),"",((H37+I37)*1024)/(E37*F37*G37/8192))</f>
        <v/>
      </c>
      <c r="N37" s="127">
        <f>IF(OR(E37="",F37="",G37=""),"",(E37*F37*4)/(E37*F37*G37/8192))</f>
        <v/>
      </c>
      <c r="O37" s="126">
        <f>IF(AND(ISNUMBER(M37),M37&gt;0),MIN(1,128/M37),"")</f>
        <v/>
      </c>
      <c r="P37" s="126">
        <f>IF(AND(ISNUMBER(N37),N37&gt;0),MIN(1,512/N37),"")</f>
        <v/>
      </c>
      <c r="Q37" s="126">
        <f>IF(AND(ISNUMBER(O37),ISNUMBER(P37)),MIN(O37,P37),"")</f>
        <v/>
      </c>
      <c r="R37" s="127">
        <f>IF(AND(ISNUMBER(L37),ISNUMBER(Q37)),(L37-Q37)*100,"")</f>
        <v/>
      </c>
      <c r="S37" s="92" t="inlineStr">
        <is>
          <t>PASS</t>
        </is>
      </c>
      <c r="T37" t="inlineStr">
        <is>
          <t>本轮 model-main 9b3a4405 + 8参数(256KB ShareTReg) 2026-09-22</t>
        </is>
      </c>
    </row>
    <row r="38" ht="20" customHeight="1">
      <c r="A38" s="45" t="inlineStr">
        <is>
          <t>FP8</t>
        </is>
      </c>
      <c r="B38" s="46" t="n">
        <v>2048</v>
      </c>
      <c r="C38" s="46" t="n">
        <v>256</v>
      </c>
      <c r="D38" s="46" t="n">
        <v>2048</v>
      </c>
      <c r="E38" s="46" t="n">
        <v>128</v>
      </c>
      <c r="F38" s="46" t="n">
        <v>64</v>
      </c>
      <c r="G38" s="46" t="n">
        <v>512</v>
      </c>
      <c r="H38" s="46" t="n">
        <v>64</v>
      </c>
      <c r="I38" s="46" t="n">
        <v>32</v>
      </c>
      <c r="J38" s="46" t="n">
        <v>96</v>
      </c>
      <c r="K38" s="125" t="n">
        <v>360088</v>
      </c>
      <c r="L38" s="126">
        <f>ROUND(B38*C38*D38/8192/K38*100,1)/100</f>
        <v/>
      </c>
      <c r="M38" s="127">
        <f>IF(OR(E38="",F38="",G38=""),"",((H38+I38)*1024)/(E38*F38*G38/8192))</f>
        <v/>
      </c>
      <c r="N38" s="127">
        <f>IF(OR(E38="",F38="",G38=""),"",(E38*F38*4)/(E38*F38*G38/8192))</f>
        <v/>
      </c>
      <c r="O38" s="126">
        <f>IF(AND(ISNUMBER(M38),M38&gt;0),MIN(1,128/M38),"")</f>
        <v/>
      </c>
      <c r="P38" s="126">
        <f>IF(AND(ISNUMBER(N38),N38&gt;0),MIN(1,512/N38),"")</f>
        <v/>
      </c>
      <c r="Q38" s="126">
        <f>IF(AND(ISNUMBER(O38),ISNUMBER(P38)),MIN(O38,P38),"")</f>
        <v/>
      </c>
      <c r="R38" s="127">
        <f>IF(AND(ISNUMBER(L38),ISNUMBER(Q38)),(L38-Q38)*100,"")</f>
        <v/>
      </c>
      <c r="S38" s="92" t="inlineStr">
        <is>
          <t>PASS</t>
        </is>
      </c>
      <c r="T38" t="inlineStr">
        <is>
          <t>本轮 model-main 9b3a4405 + 8参数(256KB ShareTReg) 2026-09-22</t>
        </is>
      </c>
    </row>
    <row r="39" ht="20" customHeight="1">
      <c r="A39" s="45" t="inlineStr">
        <is>
          <t>FP8</t>
        </is>
      </c>
      <c r="B39" s="46" t="n">
        <v>2048</v>
      </c>
      <c r="C39" s="46" t="n">
        <v>256</v>
      </c>
      <c r="D39" s="46" t="n">
        <v>2048</v>
      </c>
      <c r="E39" s="46" t="n">
        <v>128</v>
      </c>
      <c r="F39" s="46" t="n">
        <v>64</v>
      </c>
      <c r="G39" s="46" t="n">
        <v>1024</v>
      </c>
      <c r="H39" s="46" t="n">
        <v>128</v>
      </c>
      <c r="I39" s="46" t="n">
        <v>64</v>
      </c>
      <c r="J39" s="46" t="n">
        <v>192</v>
      </c>
      <c r="K39" s="125" t="n">
        <v>664719</v>
      </c>
      <c r="L39" s="126">
        <f>ROUND(B39*C39*D39/8192/K39*100,1)/100</f>
        <v/>
      </c>
      <c r="M39" s="127">
        <f>IF(OR(E39="",F39="",G39=""),"",((H39+I39)*1024)/(E39*F39*G39/8192))</f>
        <v/>
      </c>
      <c r="N39" s="127">
        <f>IF(OR(E39="",F39="",G39=""),"",(E39*F39*4)/(E39*F39*G39/8192))</f>
        <v/>
      </c>
      <c r="O39" s="126">
        <f>IF(AND(ISNUMBER(M39),M39&gt;0),MIN(1,128/M39),"")</f>
        <v/>
      </c>
      <c r="P39" s="126">
        <f>IF(AND(ISNUMBER(N39),N39&gt;0),MIN(1,512/N39),"")</f>
        <v/>
      </c>
      <c r="Q39" s="126">
        <f>IF(AND(ISNUMBER(O39),ISNUMBER(P39)),MIN(O39,P39),"")</f>
        <v/>
      </c>
      <c r="R39" s="127">
        <f>IF(AND(ISNUMBER(L39),ISNUMBER(Q39)),(L39-Q39)*100,"")</f>
        <v/>
      </c>
      <c r="S39" s="92" t="inlineStr">
        <is>
          <t>PASS</t>
        </is>
      </c>
      <c r="T39" t="inlineStr">
        <is>
          <t>本轮 model-main 9b3a4405 + 8参数(256KB ShareTReg) 2026-09-22</t>
        </is>
      </c>
    </row>
    <row r="40" ht="20" customHeight="1">
      <c r="A40" s="45" t="inlineStr">
        <is>
          <t>FP8</t>
        </is>
      </c>
      <c r="B40" s="46" t="n">
        <v>2048</v>
      </c>
      <c r="C40" s="46" t="n">
        <v>256</v>
      </c>
      <c r="D40" s="46" t="n">
        <v>2048</v>
      </c>
      <c r="E40" s="46" t="n">
        <v>128</v>
      </c>
      <c r="F40" s="46" t="n">
        <v>128</v>
      </c>
      <c r="G40" s="46" t="n">
        <v>256</v>
      </c>
      <c r="H40" s="46" t="n">
        <v>32</v>
      </c>
      <c r="I40" s="46" t="n">
        <v>32</v>
      </c>
      <c r="J40" s="46" t="n">
        <v>64</v>
      </c>
      <c r="K40" s="125" t="n">
        <v>242636</v>
      </c>
      <c r="L40" s="126">
        <f>ROUND(B40*C40*D40/8192/K40*100,1)/100</f>
        <v/>
      </c>
      <c r="M40" s="127">
        <f>IF(OR(E40="",F40="",G40=""),"",((H40+I40)*1024)/(E40*F40*G40/8192))</f>
        <v/>
      </c>
      <c r="N40" s="127">
        <f>IF(OR(E40="",F40="",G40=""),"",(E40*F40*4)/(E40*F40*G40/8192))</f>
        <v/>
      </c>
      <c r="O40" s="126">
        <f>IF(AND(ISNUMBER(M40),M40&gt;0),MIN(1,128/M40),"")</f>
        <v/>
      </c>
      <c r="P40" s="126">
        <f>IF(AND(ISNUMBER(N40),N40&gt;0),MIN(1,512/N40),"")</f>
        <v/>
      </c>
      <c r="Q40" s="126">
        <f>IF(AND(ISNUMBER(O40),ISNUMBER(P40)),MIN(O40,P40),"")</f>
        <v/>
      </c>
      <c r="R40" s="127">
        <f>IF(AND(ISNUMBER(L40),ISNUMBER(Q40)),(L40-Q40)*100,"")</f>
        <v/>
      </c>
      <c r="S40" s="92" t="inlineStr">
        <is>
          <t>PASS</t>
        </is>
      </c>
      <c r="T40" t="inlineStr">
        <is>
          <t>本轮 model-main 9b3a4405 + 8参数(256KB ShareTReg) 2026-09-22</t>
        </is>
      </c>
    </row>
    <row r="41" ht="20" customHeight="1">
      <c r="A41" s="45" t="inlineStr">
        <is>
          <t>FP8</t>
        </is>
      </c>
      <c r="B41" s="46" t="n">
        <v>2048</v>
      </c>
      <c r="C41" s="46" t="n">
        <v>256</v>
      </c>
      <c r="D41" s="46" t="n">
        <v>2048</v>
      </c>
      <c r="E41" s="104" t="n">
        <v>128</v>
      </c>
      <c r="F41" s="104" t="n">
        <v>128</v>
      </c>
      <c r="G41" s="104" t="n">
        <v>512</v>
      </c>
      <c r="H41" s="46" t="n">
        <v>64</v>
      </c>
      <c r="I41" s="46" t="n">
        <v>64</v>
      </c>
      <c r="J41" s="46" t="n">
        <v>128</v>
      </c>
      <c r="K41" s="125" t="n">
        <v>248589</v>
      </c>
      <c r="L41" s="118">
        <f>ROUND(B41*C41*D41/8192/K41*100,1)/100</f>
        <v/>
      </c>
      <c r="M41" s="127">
        <f>IF(OR(E41="",F41="",G41=""),"",((H41+I41)*1024)/(E41*F41*G41/8192))</f>
        <v/>
      </c>
      <c r="N41" s="127">
        <f>IF(OR(E41="",F41="",G41=""),"",(E41*F41*4)/(E41*F41*G41/8192))</f>
        <v/>
      </c>
      <c r="O41" s="126">
        <f>IF(AND(ISNUMBER(M41),M41&gt;0),MIN(1,128/M41),"")</f>
        <v/>
      </c>
      <c r="P41" s="126">
        <f>IF(AND(ISNUMBER(N41),N41&gt;0),MIN(1,512/N41),"")</f>
        <v/>
      </c>
      <c r="Q41" s="126">
        <f>IF(AND(ISNUMBER(O41),ISNUMBER(P41)),MIN(O41,P41),"")</f>
        <v/>
      </c>
      <c r="R41" s="127">
        <f>IF(AND(ISNUMBER(L41),ISNUMBER(Q41)),(L41-Q41)*100,"")</f>
        <v/>
      </c>
      <c r="S41" s="92" t="inlineStr">
        <is>
          <t>PASS</t>
        </is>
      </c>
      <c r="T41" t="inlineStr">
        <is>
          <t>本轮 model-main 9b3a4405 + 8参数(256KB ShareTReg) 2026-09-22</t>
        </is>
      </c>
    </row>
    <row r="42" ht="20" customHeight="1">
      <c r="A42" s="45" t="inlineStr">
        <is>
          <t>FP8</t>
        </is>
      </c>
      <c r="B42" s="46" t="n">
        <v>2048</v>
      </c>
      <c r="C42" s="46" t="n">
        <v>256</v>
      </c>
      <c r="D42" s="46" t="n">
        <v>2048</v>
      </c>
      <c r="E42" s="46" t="n">
        <v>128</v>
      </c>
      <c r="F42" s="46" t="n">
        <v>128</v>
      </c>
      <c r="G42" s="46" t="n">
        <v>1024</v>
      </c>
      <c r="H42" s="46" t="n">
        <v>128</v>
      </c>
      <c r="I42" s="46" t="n">
        <v>128</v>
      </c>
      <c r="J42" s="46" t="n">
        <v>256</v>
      </c>
      <c r="K42" s="125" t="n">
        <v>456512</v>
      </c>
      <c r="L42" s="126">
        <f>ROUND(B42*C42*D42/8192/K42*100,1)/100</f>
        <v/>
      </c>
      <c r="M42" s="127">
        <f>IF(OR(E42="",F42="",G42=""),"",((H42+I42)*1024)/(E42*F42*G42/8192))</f>
        <v/>
      </c>
      <c r="N42" s="127">
        <f>IF(OR(E42="",F42="",G42=""),"",(E42*F42*4)/(E42*F42*G42/8192))</f>
        <v/>
      </c>
      <c r="O42" s="126">
        <f>IF(AND(ISNUMBER(M42),M42&gt;0),MIN(1,128/M42),"")</f>
        <v/>
      </c>
      <c r="P42" s="126">
        <f>IF(AND(ISNUMBER(N42),N42&gt;0),MIN(1,512/N42),"")</f>
        <v/>
      </c>
      <c r="Q42" s="126">
        <f>IF(AND(ISNUMBER(O42),ISNUMBER(P42)),MIN(O42,P42),"")</f>
        <v/>
      </c>
      <c r="R42" s="127">
        <f>IF(AND(ISNUMBER(L42),ISNUMBER(Q42)),(L42-Q42)*100,"")</f>
        <v/>
      </c>
      <c r="S42" s="92" t="inlineStr">
        <is>
          <t>PASS</t>
        </is>
      </c>
      <c r="T42" t="inlineStr">
        <is>
          <t>本轮 model-main 9b3a4405 + 8参数(256KB ShareTReg) 2026-09-22</t>
        </is>
      </c>
    </row>
    <row r="43" ht="20" customHeight="1">
      <c r="A43" s="45" t="inlineStr">
        <is>
          <t>FP8</t>
        </is>
      </c>
      <c r="B43" s="46" t="n">
        <v>2048</v>
      </c>
      <c r="C43" s="46" t="n">
        <v>256</v>
      </c>
      <c r="D43" s="46" t="n">
        <v>2048</v>
      </c>
      <c r="E43" s="46" t="n">
        <v>128</v>
      </c>
      <c r="F43" s="46" t="n">
        <v>256</v>
      </c>
      <c r="G43" s="46" t="n">
        <v>256</v>
      </c>
      <c r="H43" s="46" t="n">
        <v>32</v>
      </c>
      <c r="I43" s="46" t="n">
        <v>64</v>
      </c>
      <c r="J43" s="46" t="n">
        <v>96</v>
      </c>
      <c r="K43" s="125" t="n">
        <v>186050</v>
      </c>
      <c r="L43" s="126">
        <f>ROUND(B43*C43*D43/8192/K43*100,1)/100</f>
        <v/>
      </c>
      <c r="M43" s="127">
        <f>IF(OR(E43="",F43="",G43=""),"",((H43+I43)*1024)/(E43*F43*G43/8192))</f>
        <v/>
      </c>
      <c r="N43" s="127">
        <f>IF(OR(E43="",F43="",G43=""),"",(E43*F43*4)/(E43*F43*G43/8192))</f>
        <v/>
      </c>
      <c r="O43" s="126">
        <f>IF(AND(ISNUMBER(M43),M43&gt;0),MIN(1,128/M43),"")</f>
        <v/>
      </c>
      <c r="P43" s="126">
        <f>IF(AND(ISNUMBER(N43),N43&gt;0),MIN(1,512/N43),"")</f>
        <v/>
      </c>
      <c r="Q43" s="126">
        <f>IF(AND(ISNUMBER(O43),ISNUMBER(P43)),MIN(O43,P43),"")</f>
        <v/>
      </c>
      <c r="R43" s="127">
        <f>IF(AND(ISNUMBER(L43),ISNUMBER(Q43)),(L43-Q43)*100,"")</f>
        <v/>
      </c>
      <c r="S43" s="92" t="inlineStr">
        <is>
          <t>PASS</t>
        </is>
      </c>
      <c r="T43" t="inlineStr">
        <is>
          <t>本轮 model-main 9b3a4405 + 8参数(256KB ShareTReg) 2026-09-22</t>
        </is>
      </c>
    </row>
    <row r="44" ht="20" customHeight="1">
      <c r="A44" s="45" t="inlineStr">
        <is>
          <t>FP8</t>
        </is>
      </c>
      <c r="B44" s="46" t="n">
        <v>2048</v>
      </c>
      <c r="C44" s="46" t="n">
        <v>256</v>
      </c>
      <c r="D44" s="46" t="n">
        <v>2048</v>
      </c>
      <c r="E44" s="46" t="n">
        <v>128</v>
      </c>
      <c r="F44" s="46" t="n">
        <v>256</v>
      </c>
      <c r="G44" s="46" t="n">
        <v>512</v>
      </c>
      <c r="H44" s="46" t="n">
        <v>64</v>
      </c>
      <c r="I44" s="46" t="n">
        <v>128</v>
      </c>
      <c r="J44" s="46" t="n">
        <v>192</v>
      </c>
      <c r="K44" s="125" t="n">
        <v>341424</v>
      </c>
      <c r="L44" s="126">
        <f>ROUND(B44*C44*D44/8192/K44*100,1)/100</f>
        <v/>
      </c>
      <c r="M44" s="127">
        <f>IF(OR(E44="",F44="",G44=""),"",((H44+I44)*1024)/(E44*F44*G44/8192))</f>
        <v/>
      </c>
      <c r="N44" s="127">
        <f>IF(OR(E44="",F44="",G44=""),"",(E44*F44*4)/(E44*F44*G44/8192))</f>
        <v/>
      </c>
      <c r="O44" s="126">
        <f>IF(AND(ISNUMBER(M44),M44&gt;0),MIN(1,128/M44),"")</f>
        <v/>
      </c>
      <c r="P44" s="126">
        <f>IF(AND(ISNUMBER(N44),N44&gt;0),MIN(1,512/N44),"")</f>
        <v/>
      </c>
      <c r="Q44" s="126">
        <f>IF(AND(ISNUMBER(O44),ISNUMBER(P44)),MIN(O44,P44),"")</f>
        <v/>
      </c>
      <c r="R44" s="127">
        <f>IF(AND(ISNUMBER(L44),ISNUMBER(Q44)),(L44-Q44)*100,"")</f>
        <v/>
      </c>
      <c r="S44" s="92" t="inlineStr">
        <is>
          <t>PASS</t>
        </is>
      </c>
      <c r="T44" t="inlineStr">
        <is>
          <t>本轮 model-main 9b3a4405 + 8参数(256KB ShareTReg) 2026-09-22</t>
        </is>
      </c>
    </row>
    <row r="45" ht="20" customHeight="1">
      <c r="A45" s="45" t="inlineStr">
        <is>
          <t>FP8</t>
        </is>
      </c>
      <c r="B45" s="46" t="n">
        <v>2048</v>
      </c>
      <c r="C45" s="46" t="n">
        <v>256</v>
      </c>
      <c r="D45" s="46" t="n">
        <v>2048</v>
      </c>
      <c r="E45" s="46" t="n">
        <v>128</v>
      </c>
      <c r="F45" s="46" t="n">
        <v>256</v>
      </c>
      <c r="G45" s="46" t="n">
        <v>1024</v>
      </c>
      <c r="H45" s="46" t="n">
        <v>128</v>
      </c>
      <c r="I45" s="46" t="n">
        <v>256</v>
      </c>
      <c r="J45" s="46" t="n">
        <v>384</v>
      </c>
      <c r="K45" s="125" t="inlineStr">
        <is>
          <t>—</t>
        </is>
      </c>
      <c r="L45" s="126" t="n"/>
      <c r="M45" s="127">
        <f>IF(OR(E45="",F45="",G45=""),"",((H45+I45)*1024)/(E45*F45*G45/8192))</f>
        <v/>
      </c>
      <c r="N45" s="127">
        <f>IF(OR(E45="",F45="",G45=""),"",(E45*F45*4)/(E45*F45*G45/8192))</f>
        <v/>
      </c>
      <c r="O45" s="126">
        <f>IF(AND(ISNUMBER(M45),M45&gt;0),MIN(1,128/M45),"")</f>
        <v/>
      </c>
      <c r="P45" s="126">
        <f>IF(AND(ISNUMBER(N45),N45&gt;0),MIN(1,512/N45),"")</f>
        <v/>
      </c>
      <c r="Q45" s="126">
        <f>IF(AND(ISNUMBER(O45),ISNUMBER(P45)),MIN(O45,P45),"")</f>
        <v/>
      </c>
      <c r="R45" s="127" t="n"/>
      <c r="S45" s="93" t="inlineStr">
        <is>
          <t>COMPILE_FAIL</t>
        </is>
      </c>
      <c r="T45" t="inlineStr">
        <is>
          <t>容量超限：完整 SharedTile 足迹 &gt; 256 KiB；本轮 model-main 9b3a4405 + 8参数(256KB ShareTReg) 2026-09-22</t>
        </is>
      </c>
    </row>
    <row r="46" ht="23" customHeight="1">
      <c r="A46" s="81" t="inlineStr">
        <is>
          <t>MXFP8</t>
        </is>
      </c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112" t="n"/>
      <c r="L46" s="113" t="n"/>
      <c r="M46" s="114" t="n"/>
      <c r="N46" s="114" t="n"/>
      <c r="O46" s="113" t="n"/>
      <c r="P46" s="113" t="n"/>
      <c r="Q46" s="113" t="n"/>
      <c r="R46" s="114" t="n"/>
      <c r="S46" s="86" t="n"/>
    </row>
    <row r="47" ht="20" customHeight="1">
      <c r="A47" s="27" t="inlineStr">
        <is>
          <t>MXFP8</t>
        </is>
      </c>
      <c r="B47" s="28" t="n">
        <v>2048</v>
      </c>
      <c r="C47" s="28" t="n">
        <v>256</v>
      </c>
      <c r="D47" s="28" t="n">
        <v>2048</v>
      </c>
      <c r="E47" s="28" t="n">
        <v>128</v>
      </c>
      <c r="F47" s="28" t="n">
        <v>64</v>
      </c>
      <c r="G47" s="28" t="n">
        <v>256</v>
      </c>
      <c r="H47" s="28" t="n">
        <v>36</v>
      </c>
      <c r="I47" s="28" t="n">
        <v>18</v>
      </c>
      <c r="J47" s="28" t="n">
        <v>54</v>
      </c>
      <c r="K47" s="115" t="n">
        <v>384341</v>
      </c>
      <c r="L47" s="116" t="n"/>
      <c r="M47" s="117">
        <f>IF(OR(E47="",F47="",G47=""),"",((H47+I47)*1024)/(E47*F47*G47/8192))</f>
        <v/>
      </c>
      <c r="N47" s="117">
        <f>IF(OR(E47="",F47="",G47=""),"",(E47*F47*4)/(E47*F47*G47/8192))</f>
        <v/>
      </c>
      <c r="O47" s="116">
        <f>IF(AND(ISNUMBER(M47),M47&gt;0),MIN(1,128/M47),"")</f>
        <v/>
      </c>
      <c r="P47" s="116">
        <f>IF(AND(ISNUMBER(N47),N47&gt;0),MIN(1,512/N47),"")</f>
        <v/>
      </c>
      <c r="Q47" s="116">
        <f>IF(AND(ISNUMBER(O47),ISNUMBER(P47)),MIN(O47,P47),"")</f>
        <v/>
      </c>
      <c r="R47" s="117" t="n"/>
      <c r="S47" s="94" t="inlineStr">
        <is>
          <t>PASS</t>
        </is>
      </c>
      <c r="T47" t="inlineStr">
        <is>
          <t>本轮 model-main 9b3a4405 + 8参数(256KB ShareTReg) 2026-09-22</t>
        </is>
      </c>
    </row>
    <row r="48" ht="20" customHeight="1">
      <c r="A48" s="27" t="inlineStr">
        <is>
          <t>MXFP8</t>
        </is>
      </c>
      <c r="B48" s="28" t="n">
        <v>2048</v>
      </c>
      <c r="C48" s="28" t="n">
        <v>256</v>
      </c>
      <c r="D48" s="28" t="n">
        <v>2048</v>
      </c>
      <c r="E48" s="28" t="n">
        <v>128</v>
      </c>
      <c r="F48" s="28" t="n">
        <v>64</v>
      </c>
      <c r="G48" s="28" t="n">
        <v>512</v>
      </c>
      <c r="H48" s="28" t="n">
        <v>68</v>
      </c>
      <c r="I48" s="28" t="n">
        <v>34</v>
      </c>
      <c r="J48" s="28" t="n">
        <v>102</v>
      </c>
      <c r="K48" s="115" t="n">
        <v>385171</v>
      </c>
      <c r="L48" s="116">
        <f>ROUND(B48*C48*D48/8192/K48*100,1)/100</f>
        <v/>
      </c>
      <c r="M48" s="117">
        <f>IF(OR(E48="",F48="",G48=""),"",((H48+I48)*1024)/(E48*F48*G48/8192))</f>
        <v/>
      </c>
      <c r="N48" s="117">
        <f>IF(OR(E48="",F48="",G48=""),"",(E48*F48*4)/(E48*F48*G48/8192))</f>
        <v/>
      </c>
      <c r="O48" s="116">
        <f>IF(AND(ISNUMBER(M48),M48&gt;0),MIN(1,128/M48),"")</f>
        <v/>
      </c>
      <c r="P48" s="116">
        <f>IF(AND(ISNUMBER(N48),N48&gt;0),MIN(1,512/N48),"")</f>
        <v/>
      </c>
      <c r="Q48" s="116">
        <f>IF(AND(ISNUMBER(O48),ISNUMBER(P48)),MIN(O48,P48),"")</f>
        <v/>
      </c>
      <c r="R48" s="117">
        <f>IF(AND(ISNUMBER(L48),ISNUMBER(Q48)),(L48-Q48)*100,"")</f>
        <v/>
      </c>
      <c r="S48" s="87" t="inlineStr">
        <is>
          <t>PASS</t>
        </is>
      </c>
      <c r="T48" t="inlineStr">
        <is>
          <t>本轮 model-main 9b3a4405 + 8参数(256KB ShareTReg) 2026-09-22</t>
        </is>
      </c>
    </row>
    <row r="49" ht="20" customHeight="1">
      <c r="A49" s="27" t="inlineStr">
        <is>
          <t>MXFP8</t>
        </is>
      </c>
      <c r="B49" s="28" t="n">
        <v>2048</v>
      </c>
      <c r="C49" s="28" t="n">
        <v>256</v>
      </c>
      <c r="D49" s="28" t="n">
        <v>2048</v>
      </c>
      <c r="E49" s="28" t="n">
        <v>128</v>
      </c>
      <c r="F49" s="28" t="n">
        <v>64</v>
      </c>
      <c r="G49" s="28" t="n">
        <v>1024</v>
      </c>
      <c r="H49" s="28" t="n">
        <v>132</v>
      </c>
      <c r="I49" s="28" t="n">
        <v>66</v>
      </c>
      <c r="J49" s="28" t="n">
        <v>198</v>
      </c>
      <c r="K49" s="115" t="n">
        <v>718268</v>
      </c>
      <c r="L49" s="116">
        <f>ROUND(B49*C49*D49/8192/K49*100,1)/100</f>
        <v/>
      </c>
      <c r="M49" s="117">
        <f>IF(OR(E49="",F49="",G49=""),"",((H49+I49)*1024)/(E49*F49*G49/8192))</f>
        <v/>
      </c>
      <c r="N49" s="117">
        <f>IF(OR(E49="",F49="",G49=""),"",(E49*F49*4)/(E49*F49*G49/8192))</f>
        <v/>
      </c>
      <c r="O49" s="116">
        <f>IF(AND(ISNUMBER(M49),M49&gt;0),MIN(1,128/M49),"")</f>
        <v/>
      </c>
      <c r="P49" s="116">
        <f>IF(AND(ISNUMBER(N49),N49&gt;0),MIN(1,512/N49),"")</f>
        <v/>
      </c>
      <c r="Q49" s="116">
        <f>IF(AND(ISNUMBER(O49),ISNUMBER(P49)),MIN(O49,P49),"")</f>
        <v/>
      </c>
      <c r="R49" s="117">
        <f>IF(AND(ISNUMBER(L49),ISNUMBER(Q49)),(L49-Q49)*100,"")</f>
        <v/>
      </c>
      <c r="S49" s="87" t="inlineStr">
        <is>
          <t>PASS</t>
        </is>
      </c>
      <c r="T49" t="inlineStr">
        <is>
          <t>本轮 model-main 9b3a4405 + 8参数(256KB ShareTReg) 2026-09-22</t>
        </is>
      </c>
    </row>
    <row r="50" ht="20" customHeight="1">
      <c r="A50" s="27" t="inlineStr">
        <is>
          <t>MXFP8</t>
        </is>
      </c>
      <c r="B50" s="28" t="n">
        <v>2048</v>
      </c>
      <c r="C50" s="28" t="n">
        <v>256</v>
      </c>
      <c r="D50" s="28" t="n">
        <v>2048</v>
      </c>
      <c r="E50" s="28" t="n">
        <v>128</v>
      </c>
      <c r="F50" s="28" t="n">
        <v>128</v>
      </c>
      <c r="G50" s="28" t="n">
        <v>256</v>
      </c>
      <c r="H50" s="28" t="n">
        <v>36</v>
      </c>
      <c r="I50" s="28" t="n">
        <v>36</v>
      </c>
      <c r="J50" s="28" t="n">
        <v>72</v>
      </c>
      <c r="K50" s="115" t="n">
        <v>260946</v>
      </c>
      <c r="L50" s="116">
        <f>ROUND(B50*C50*D50/8192/K50*100,1)/100</f>
        <v/>
      </c>
      <c r="M50" s="117">
        <f>IF(OR(E50="",F50="",G50=""),"",((H50+I50)*1024)/(E50*F50*G50/8192))</f>
        <v/>
      </c>
      <c r="N50" s="117">
        <f>IF(OR(E50="",F50="",G50=""),"",(E50*F50*4)/(E50*F50*G50/8192))</f>
        <v/>
      </c>
      <c r="O50" s="116">
        <f>IF(AND(ISNUMBER(M50),M50&gt;0),MIN(1,128/M50),"")</f>
        <v/>
      </c>
      <c r="P50" s="116">
        <f>IF(AND(ISNUMBER(N50),N50&gt;0),MIN(1,512/N50),"")</f>
        <v/>
      </c>
      <c r="Q50" s="116">
        <f>IF(AND(ISNUMBER(O50),ISNUMBER(P50)),MIN(O50,P50),"")</f>
        <v/>
      </c>
      <c r="R50" s="117">
        <f>IF(AND(ISNUMBER(L50),ISNUMBER(Q50)),(L50-Q50)*100,"")</f>
        <v/>
      </c>
      <c r="S50" s="87" t="inlineStr">
        <is>
          <t>PASS</t>
        </is>
      </c>
      <c r="T50" t="inlineStr">
        <is>
          <t>本轮 model-main 9b3a4405 + 8参数(256KB ShareTReg) 2026-09-22</t>
        </is>
      </c>
    </row>
    <row r="51" ht="20" customHeight="1">
      <c r="A51" s="27" t="inlineStr">
        <is>
          <t>MXFP8</t>
        </is>
      </c>
      <c r="B51" s="28" t="n">
        <v>2048</v>
      </c>
      <c r="C51" s="28" t="n">
        <v>256</v>
      </c>
      <c r="D51" s="28" t="n">
        <v>2048</v>
      </c>
      <c r="E51" s="28" t="n">
        <v>128</v>
      </c>
      <c r="F51" s="28" t="n">
        <v>128</v>
      </c>
      <c r="G51" s="28" t="n">
        <v>512</v>
      </c>
      <c r="H51" s="28" t="n">
        <v>68</v>
      </c>
      <c r="I51" s="28" t="n">
        <v>68</v>
      </c>
      <c r="J51" s="28" t="n">
        <v>136</v>
      </c>
      <c r="K51" s="115" t="n">
        <v>382406</v>
      </c>
      <c r="L51" s="116" t="n"/>
      <c r="M51" s="117">
        <f>IF(OR(E51="",F51="",G51=""),"",((H51+I51)*1024)/(E51*F51*G51/8192))</f>
        <v/>
      </c>
      <c r="N51" s="117">
        <f>IF(OR(E51="",F51="",G51=""),"",(E51*F51*4)/(E51*F51*G51/8192))</f>
        <v/>
      </c>
      <c r="O51" s="116">
        <f>IF(AND(ISNUMBER(M51),M51&gt;0),MIN(1,128/M51),"")</f>
        <v/>
      </c>
      <c r="P51" s="116">
        <f>IF(AND(ISNUMBER(N51),N51&gt;0),MIN(1,512/N51),"")</f>
        <v/>
      </c>
      <c r="Q51" s="116">
        <f>IF(AND(ISNUMBER(O51),ISNUMBER(P51)),MIN(O51,P51),"")</f>
        <v/>
      </c>
      <c r="R51" s="117" t="n"/>
      <c r="S51" s="94" t="inlineStr">
        <is>
          <t>PASS</t>
        </is>
      </c>
      <c r="T51" t="inlineStr">
        <is>
          <t>本轮 model-main 9b3a4405 + 8参数(256KB ShareTReg) 2026-09-22</t>
        </is>
      </c>
    </row>
    <row r="52" ht="20" customHeight="1">
      <c r="A52" s="27" t="inlineStr">
        <is>
          <t>MXFP8</t>
        </is>
      </c>
      <c r="B52" s="28" t="n">
        <v>2048</v>
      </c>
      <c r="C52" s="28" t="n">
        <v>256</v>
      </c>
      <c r="D52" s="28" t="n">
        <v>2048</v>
      </c>
      <c r="E52" s="28" t="n">
        <v>128</v>
      </c>
      <c r="F52" s="28" t="n">
        <v>128</v>
      </c>
      <c r="G52" s="28" t="n">
        <v>1024</v>
      </c>
      <c r="H52" s="28" t="n">
        <v>132</v>
      </c>
      <c r="I52" s="28" t="n">
        <v>132</v>
      </c>
      <c r="J52" s="28" t="n">
        <v>264</v>
      </c>
      <c r="K52" s="115" t="inlineStr">
        <is>
          <t>—</t>
        </is>
      </c>
      <c r="L52" s="116" t="n"/>
      <c r="M52" s="117">
        <f>IF(OR(E52="",F52="",G52=""),"",((H52+I52)*1024)/(E52*F52*G52/8192))</f>
        <v/>
      </c>
      <c r="N52" s="117">
        <f>IF(OR(E52="",F52="",G52=""),"",(E52*F52*4)/(E52*F52*G52/8192))</f>
        <v/>
      </c>
      <c r="O52" s="116">
        <f>IF(AND(ISNUMBER(M52),M52&gt;0),MIN(1,128/M52),"")</f>
        <v/>
      </c>
      <c r="P52" s="116">
        <f>IF(AND(ISNUMBER(N52),N52&gt;0),MIN(1,512/N52),"")</f>
        <v/>
      </c>
      <c r="Q52" s="116">
        <f>IF(AND(ISNUMBER(O52),ISNUMBER(P52)),MIN(O52,P52),"")</f>
        <v/>
      </c>
      <c r="R52" s="117" t="n"/>
      <c r="S52" s="94" t="inlineStr">
        <is>
          <t>COMPILE_FAIL</t>
        </is>
      </c>
      <c r="T52" t="inlineStr">
        <is>
          <t>容量超限：完整 SharedTile 足迹 &gt; 256 KiB；本轮 model-main 9b3a4405 + 8参数(256KB ShareTReg) 2026-09-22</t>
        </is>
      </c>
    </row>
    <row r="53" ht="20" customHeight="1">
      <c r="A53" s="27" t="inlineStr">
        <is>
          <t>MXFP8</t>
        </is>
      </c>
      <c r="B53" s="28" t="n">
        <v>2048</v>
      </c>
      <c r="C53" s="28" t="n">
        <v>256</v>
      </c>
      <c r="D53" s="28" t="n">
        <v>2048</v>
      </c>
      <c r="E53" s="28" t="n">
        <v>128</v>
      </c>
      <c r="F53" s="28" t="n">
        <v>256</v>
      </c>
      <c r="G53" s="28" t="n">
        <v>256</v>
      </c>
      <c r="H53" s="28" t="n">
        <v>36</v>
      </c>
      <c r="I53" s="28" t="n">
        <v>72</v>
      </c>
      <c r="J53" s="28" t="n">
        <v>108</v>
      </c>
      <c r="K53" s="115" t="n">
        <v>234080</v>
      </c>
      <c r="L53" s="116">
        <f>ROUND(B53*C53*D53/8192/K53*100,1)/100</f>
        <v/>
      </c>
      <c r="M53" s="117">
        <f>IF(OR(E53="",F53="",G53=""),"",((H53+I53)*1024)/(E53*F53*G53/8192))</f>
        <v/>
      </c>
      <c r="N53" s="117">
        <f>IF(OR(E53="",F53="",G53=""),"",(E53*F53*4)/(E53*F53*G53/8192))</f>
        <v/>
      </c>
      <c r="O53" s="116">
        <f>IF(AND(ISNUMBER(M53),M53&gt;0),MIN(1,128/M53),"")</f>
        <v/>
      </c>
      <c r="P53" s="116">
        <f>IF(AND(ISNUMBER(N53),N53&gt;0),MIN(1,512/N53),"")</f>
        <v/>
      </c>
      <c r="Q53" s="116">
        <f>IF(AND(ISNUMBER(O53),ISNUMBER(P53)),MIN(O53,P53),"")</f>
        <v/>
      </c>
      <c r="R53" s="117">
        <f>IF(AND(ISNUMBER(L53),ISNUMBER(Q53)),(L53-Q53)*100,"")</f>
        <v/>
      </c>
      <c r="S53" s="87" t="inlineStr">
        <is>
          <t>PASS</t>
        </is>
      </c>
      <c r="T53" t="inlineStr">
        <is>
          <t>本轮 model-main 9b3a4405 + 8参数(256KB ShareTReg) 2026-09-22</t>
        </is>
      </c>
    </row>
    <row r="54" ht="20" customHeight="1">
      <c r="A54" s="27" t="inlineStr">
        <is>
          <t>MXFP8</t>
        </is>
      </c>
      <c r="B54" s="28" t="n">
        <v>2048</v>
      </c>
      <c r="C54" s="28" t="n">
        <v>256</v>
      </c>
      <c r="D54" s="28" t="n">
        <v>2048</v>
      </c>
      <c r="E54" s="99" t="n">
        <v>128</v>
      </c>
      <c r="F54" s="99" t="n">
        <v>256</v>
      </c>
      <c r="G54" s="99" t="n">
        <v>512</v>
      </c>
      <c r="H54" s="28" t="n">
        <v>68</v>
      </c>
      <c r="I54" s="28" t="n">
        <v>136</v>
      </c>
      <c r="J54" s="28" t="n">
        <v>204</v>
      </c>
      <c r="K54" s="115" t="n">
        <v>433926</v>
      </c>
      <c r="L54" s="118">
        <f>ROUND(B54*C54*D54/8192/K54*100,1)/100</f>
        <v/>
      </c>
      <c r="M54" s="117">
        <f>IF(OR(E54="",F54="",G54=""),"",((H54+I54)*1024)/(E54*F54*G54/8192))</f>
        <v/>
      </c>
      <c r="N54" s="117">
        <f>IF(OR(E54="",F54="",G54=""),"",(E54*F54*4)/(E54*F54*G54/8192))</f>
        <v/>
      </c>
      <c r="O54" s="116">
        <f>IF(AND(ISNUMBER(M54),M54&gt;0),MIN(1,128/M54),"")</f>
        <v/>
      </c>
      <c r="P54" s="116">
        <f>IF(AND(ISNUMBER(N54),N54&gt;0),MIN(1,512/N54),"")</f>
        <v/>
      </c>
      <c r="Q54" s="116">
        <f>IF(AND(ISNUMBER(O54),ISNUMBER(P54)),MIN(O54,P54),"")</f>
        <v/>
      </c>
      <c r="R54" s="117">
        <f>IF(AND(ISNUMBER(L54),ISNUMBER(Q54)),(L54-Q54)*100,"")</f>
        <v/>
      </c>
      <c r="S54" s="87" t="inlineStr">
        <is>
          <t>PASS</t>
        </is>
      </c>
      <c r="T54" t="inlineStr">
        <is>
          <t>本轮 model-main 9b3a4405 + 8参数(256KB ShareTReg) 2026-09-22</t>
        </is>
      </c>
    </row>
    <row r="55" ht="20" customHeight="1">
      <c r="A55" s="27" t="inlineStr">
        <is>
          <t>MXFP8</t>
        </is>
      </c>
      <c r="B55" s="28" t="n">
        <v>2048</v>
      </c>
      <c r="C55" s="28" t="n">
        <v>256</v>
      </c>
      <c r="D55" s="28" t="n">
        <v>2048</v>
      </c>
      <c r="E55" s="28" t="n">
        <v>128</v>
      </c>
      <c r="F55" s="28" t="n">
        <v>256</v>
      </c>
      <c r="G55" s="28" t="n">
        <v>1024</v>
      </c>
      <c r="H55" s="28" t="n">
        <v>132</v>
      </c>
      <c r="I55" s="28" t="n">
        <v>264</v>
      </c>
      <c r="J55" s="28" t="n">
        <v>396</v>
      </c>
      <c r="K55" s="115" t="inlineStr">
        <is>
          <t>—</t>
        </is>
      </c>
      <c r="L55" s="116" t="n"/>
      <c r="M55" s="117">
        <f>IF(OR(E55="",F55="",G55=""),"",((H55+I55)*1024)/(E55*F55*G55/8192))</f>
        <v/>
      </c>
      <c r="N55" s="117">
        <f>IF(OR(E55="",F55="",G55=""),"",(E55*F55*4)/(E55*F55*G55/8192))</f>
        <v/>
      </c>
      <c r="O55" s="116">
        <f>IF(AND(ISNUMBER(M55),M55&gt;0),MIN(1,128/M55),"")</f>
        <v/>
      </c>
      <c r="P55" s="116">
        <f>IF(AND(ISNUMBER(N55),N55&gt;0),MIN(1,512/N55),"")</f>
        <v/>
      </c>
      <c r="Q55" s="116">
        <f>IF(AND(ISNUMBER(O55),ISNUMBER(P55)),MIN(O55,P55),"")</f>
        <v/>
      </c>
      <c r="R55" s="117" t="n"/>
      <c r="S55" s="94" t="inlineStr">
        <is>
          <t>COMPILE_FAIL</t>
        </is>
      </c>
      <c r="T55" t="inlineStr">
        <is>
          <t>容量超限：完整 SharedTile 足迹 &gt; 256 KiB；本轮 model-main 9b3a4405 + 8参数(256KB ShareTReg) 2026-09-22</t>
        </is>
      </c>
    </row>
    <row r="56" ht="23" customHeight="1">
      <c r="A56" s="81" t="inlineStr">
        <is>
          <t>MXFP4</t>
        </is>
      </c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112" t="n"/>
      <c r="L56" s="113" t="n"/>
      <c r="M56" s="114" t="n"/>
      <c r="N56" s="114" t="n"/>
      <c r="O56" s="113" t="n"/>
      <c r="P56" s="113" t="n"/>
      <c r="Q56" s="113" t="n"/>
      <c r="R56" s="114" t="n"/>
      <c r="S56" s="86" t="n"/>
    </row>
    <row r="57" ht="20" customHeight="1">
      <c r="A57" s="33" t="inlineStr">
        <is>
          <t>MXFP4</t>
        </is>
      </c>
      <c r="B57" s="34" t="n">
        <v>2048</v>
      </c>
      <c r="C57" s="34" t="n">
        <v>256</v>
      </c>
      <c r="D57" s="34" t="n">
        <v>2048</v>
      </c>
      <c r="E57" s="34" t="n">
        <v>128</v>
      </c>
      <c r="F57" s="34" t="n">
        <v>64</v>
      </c>
      <c r="G57" s="34" t="n">
        <v>256</v>
      </c>
      <c r="H57" s="34" t="n">
        <v>36</v>
      </c>
      <c r="I57" s="34" t="n">
        <v>18</v>
      </c>
      <c r="J57" s="34" t="n">
        <v>54</v>
      </c>
      <c r="K57" s="119" t="n">
        <v>409689</v>
      </c>
      <c r="L57" s="120">
        <f>ROUND(B57*C57*D57/16384/K57*100,1)/100</f>
        <v/>
      </c>
      <c r="M57" s="121">
        <f>IF(OR(E57="",F57="",G57=""),"",((H57+I57)*1024)/(E57*F57*G57/16384))</f>
        <v/>
      </c>
      <c r="N57" s="121">
        <f>IF(OR(E57="",F57="",G57=""),"",(E57*F57*4)/(E57*F57*G57/16384))</f>
        <v/>
      </c>
      <c r="O57" s="120">
        <f>IF(AND(ISNUMBER(M57),M57&gt;0),MIN(1,128/M57),"")</f>
        <v/>
      </c>
      <c r="P57" s="120">
        <f>IF(AND(ISNUMBER(N57),N57&gt;0),MIN(1,512/N57),"")</f>
        <v/>
      </c>
      <c r="Q57" s="120">
        <f>IF(AND(ISNUMBER(O57),ISNUMBER(P57)),MIN(O57,P57),"")</f>
        <v/>
      </c>
      <c r="R57" s="121">
        <f>IF(AND(ISNUMBER(L57),ISNUMBER(Q57)),(L57-Q57)*100,"")</f>
        <v/>
      </c>
      <c r="S57" s="89" t="inlineStr">
        <is>
          <t>PASS</t>
        </is>
      </c>
      <c r="T57" t="inlineStr">
        <is>
          <t>本轮 model-main 9b3a4405 + 8参数(256KB ShareTReg) 2026-09-22</t>
        </is>
      </c>
    </row>
    <row r="58" ht="20" customHeight="1">
      <c r="A58" s="33" t="inlineStr">
        <is>
          <t>MXFP4</t>
        </is>
      </c>
      <c r="B58" s="34" t="n">
        <v>2048</v>
      </c>
      <c r="C58" s="34" t="n">
        <v>256</v>
      </c>
      <c r="D58" s="34" t="n">
        <v>2048</v>
      </c>
      <c r="E58" s="34" t="n">
        <v>128</v>
      </c>
      <c r="F58" s="34" t="n">
        <v>64</v>
      </c>
      <c r="G58" s="34" t="n">
        <v>512</v>
      </c>
      <c r="H58" s="34" t="n">
        <v>68</v>
      </c>
      <c r="I58" s="34" t="n">
        <v>34</v>
      </c>
      <c r="J58" s="34" t="n">
        <v>102</v>
      </c>
      <c r="K58" s="119" t="n">
        <v>386949</v>
      </c>
      <c r="L58" s="120">
        <f>ROUND(B58*C58*D58/16384/K58*100,1)/100</f>
        <v/>
      </c>
      <c r="M58" s="121">
        <f>IF(OR(E58="",F58="",G58=""),"",((H58+I58)*1024)/(E58*F58*G58/16384))</f>
        <v/>
      </c>
      <c r="N58" s="121">
        <f>IF(OR(E58="",F58="",G58=""),"",(E58*F58*4)/(E58*F58*G58/16384))</f>
        <v/>
      </c>
      <c r="O58" s="120">
        <f>IF(AND(ISNUMBER(M58),M58&gt;0),MIN(1,128/M58),"")</f>
        <v/>
      </c>
      <c r="P58" s="120">
        <f>IF(AND(ISNUMBER(N58),N58&gt;0),MIN(1,512/N58),"")</f>
        <v/>
      </c>
      <c r="Q58" s="120">
        <f>IF(AND(ISNUMBER(O58),ISNUMBER(P58)),MIN(O58,P58),"")</f>
        <v/>
      </c>
      <c r="R58" s="121">
        <f>IF(AND(ISNUMBER(L58),ISNUMBER(Q58)),(L58-Q58)*100,"")</f>
        <v/>
      </c>
      <c r="S58" s="89" t="inlineStr">
        <is>
          <t>PASS</t>
        </is>
      </c>
      <c r="T58" t="inlineStr">
        <is>
          <t>本轮 model-main 9b3a4405 + 8参数(256KB ShareTReg) 2026-09-22</t>
        </is>
      </c>
    </row>
    <row r="59" ht="20" customHeight="1">
      <c r="A59" s="33" t="inlineStr">
        <is>
          <t>MXFP4</t>
        </is>
      </c>
      <c r="B59" s="34" t="n">
        <v>2048</v>
      </c>
      <c r="C59" s="34" t="n">
        <v>256</v>
      </c>
      <c r="D59" s="34" t="n">
        <v>2048</v>
      </c>
      <c r="E59" s="34" t="n">
        <v>128</v>
      </c>
      <c r="F59" s="34" t="n">
        <v>64</v>
      </c>
      <c r="G59" s="34" t="n">
        <v>1024</v>
      </c>
      <c r="H59" s="34" t="n">
        <v>132</v>
      </c>
      <c r="I59" s="34" t="n">
        <v>66</v>
      </c>
      <c r="J59" s="34" t="n">
        <v>198</v>
      </c>
      <c r="K59" s="119" t="n">
        <v>688451</v>
      </c>
      <c r="L59" s="120">
        <f>ROUND(B59*C59*D59/16384/K59*100,1)/100</f>
        <v/>
      </c>
      <c r="M59" s="121">
        <f>IF(OR(E59="",F59="",G59=""),"",((H59+I59)*1024)/(E59*F59*G59/16384))</f>
        <v/>
      </c>
      <c r="N59" s="121">
        <f>IF(OR(E59="",F59="",G59=""),"",(E59*F59*4)/(E59*F59*G59/16384))</f>
        <v/>
      </c>
      <c r="O59" s="120">
        <f>IF(AND(ISNUMBER(M59),M59&gt;0),MIN(1,128/M59),"")</f>
        <v/>
      </c>
      <c r="P59" s="120">
        <f>IF(AND(ISNUMBER(N59),N59&gt;0),MIN(1,512/N59),"")</f>
        <v/>
      </c>
      <c r="Q59" s="120">
        <f>IF(AND(ISNUMBER(O59),ISNUMBER(P59)),MIN(O59,P59),"")</f>
        <v/>
      </c>
      <c r="R59" s="121">
        <f>IF(AND(ISNUMBER(L59),ISNUMBER(Q59)),(L59-Q59)*100,"")</f>
        <v/>
      </c>
      <c r="S59" s="89" t="inlineStr">
        <is>
          <t>PASS</t>
        </is>
      </c>
      <c r="T59" t="inlineStr">
        <is>
          <t>本轮 model-main 9b3a4405 + 8参数(256KB ShareTReg) 2026-09-22</t>
        </is>
      </c>
    </row>
    <row r="60" ht="20" customHeight="1">
      <c r="A60" s="33" t="inlineStr">
        <is>
          <t>MXFP4</t>
        </is>
      </c>
      <c r="B60" s="34" t="n">
        <v>2048</v>
      </c>
      <c r="C60" s="34" t="n">
        <v>256</v>
      </c>
      <c r="D60" s="34" t="n">
        <v>2048</v>
      </c>
      <c r="E60" s="34" t="n">
        <v>128</v>
      </c>
      <c r="F60" s="34" t="n">
        <v>128</v>
      </c>
      <c r="G60" s="34" t="n">
        <v>256</v>
      </c>
      <c r="H60" s="34" t="n">
        <v>36</v>
      </c>
      <c r="I60" s="34" t="n">
        <v>36</v>
      </c>
      <c r="J60" s="34" t="n">
        <v>72</v>
      </c>
      <c r="K60" s="119" t="n">
        <v>267257</v>
      </c>
      <c r="L60" s="120">
        <f>ROUND(B60*C60*D60/16384/K60*100,1)/100</f>
        <v/>
      </c>
      <c r="M60" s="121">
        <f>IF(OR(E60="",F60="",G60=""),"",((H60+I60)*1024)/(E60*F60*G60/16384))</f>
        <v/>
      </c>
      <c r="N60" s="121">
        <f>IF(OR(E60="",F60="",G60=""),"",(E60*F60*4)/(E60*F60*G60/16384))</f>
        <v/>
      </c>
      <c r="O60" s="120">
        <f>IF(AND(ISNUMBER(M60),M60&gt;0),MIN(1,128/M60),"")</f>
        <v/>
      </c>
      <c r="P60" s="120">
        <f>IF(AND(ISNUMBER(N60),N60&gt;0),MIN(1,512/N60),"")</f>
        <v/>
      </c>
      <c r="Q60" s="120">
        <f>IF(AND(ISNUMBER(O60),ISNUMBER(P60)),MIN(O60,P60),"")</f>
        <v/>
      </c>
      <c r="R60" s="121">
        <f>IF(AND(ISNUMBER(L60),ISNUMBER(Q60)),(L60-Q60)*100,"")</f>
        <v/>
      </c>
      <c r="S60" s="89" t="inlineStr">
        <is>
          <t>PASS</t>
        </is>
      </c>
      <c r="T60" t="inlineStr">
        <is>
          <t>本轮 model-main 9b3a4405 + 8参数(256KB ShareTReg) 2026-09-22</t>
        </is>
      </c>
    </row>
    <row r="61" ht="20" customHeight="1">
      <c r="A61" s="33" t="inlineStr">
        <is>
          <t>MXFP4</t>
        </is>
      </c>
      <c r="B61" s="34" t="n">
        <v>2048</v>
      </c>
      <c r="C61" s="34" t="n">
        <v>256</v>
      </c>
      <c r="D61" s="34" t="n">
        <v>2048</v>
      </c>
      <c r="E61" s="34" t="n">
        <v>128</v>
      </c>
      <c r="F61" s="34" t="n">
        <v>128</v>
      </c>
      <c r="G61" s="34" t="n">
        <v>512</v>
      </c>
      <c r="H61" s="34" t="n">
        <v>68</v>
      </c>
      <c r="I61" s="34" t="n">
        <v>68</v>
      </c>
      <c r="J61" s="34" t="n">
        <v>136</v>
      </c>
      <c r="K61" s="119" t="n">
        <v>332956</v>
      </c>
      <c r="L61" s="120">
        <f>ROUND(B61*C61*D61/16384/K61*100,1)/100</f>
        <v/>
      </c>
      <c r="M61" s="121">
        <f>IF(OR(E61="",F61="",G61=""),"",((H61+I61)*1024)/(E61*F61*G61/16384))</f>
        <v/>
      </c>
      <c r="N61" s="121">
        <f>IF(OR(E61="",F61="",G61=""),"",(E61*F61*4)/(E61*F61*G61/16384))</f>
        <v/>
      </c>
      <c r="O61" s="120">
        <f>IF(AND(ISNUMBER(M61),M61&gt;0),MIN(1,128/M61),"")</f>
        <v/>
      </c>
      <c r="P61" s="120">
        <f>IF(AND(ISNUMBER(N61),N61&gt;0),MIN(1,512/N61),"")</f>
        <v/>
      </c>
      <c r="Q61" s="120">
        <f>IF(AND(ISNUMBER(O61),ISNUMBER(P61)),MIN(O61,P61),"")</f>
        <v/>
      </c>
      <c r="R61" s="121">
        <f>IF(AND(ISNUMBER(L61),ISNUMBER(Q61)),(L61-Q61)*100,"")</f>
        <v/>
      </c>
      <c r="S61" s="89" t="inlineStr">
        <is>
          <t>PASS</t>
        </is>
      </c>
      <c r="T61" t="inlineStr">
        <is>
          <t>本轮 model-main 9b3a4405 + 8参数(256KB ShareTReg) 2026-09-22</t>
        </is>
      </c>
    </row>
    <row r="62" ht="20" customHeight="1">
      <c r="A62" s="33" t="inlineStr">
        <is>
          <t>MXFP4</t>
        </is>
      </c>
      <c r="B62" s="34" t="n">
        <v>2048</v>
      </c>
      <c r="C62" s="34" t="n">
        <v>256</v>
      </c>
      <c r="D62" s="34" t="n">
        <v>2048</v>
      </c>
      <c r="E62" s="34" t="n">
        <v>128</v>
      </c>
      <c r="F62" s="34" t="n">
        <v>128</v>
      </c>
      <c r="G62" s="34" t="n">
        <v>1024</v>
      </c>
      <c r="H62" s="34" t="n">
        <v>132</v>
      </c>
      <c r="I62" s="34" t="n">
        <v>132</v>
      </c>
      <c r="J62" s="34" t="n">
        <v>264</v>
      </c>
      <c r="K62" s="119" t="inlineStr">
        <is>
          <t>—</t>
        </is>
      </c>
      <c r="L62" s="120" t="n"/>
      <c r="M62" s="121">
        <f>IF(OR(E62="",F62="",G62=""),"",((H62+I62)*1024)/(E62*F62*G62/16384))</f>
        <v/>
      </c>
      <c r="N62" s="121">
        <f>IF(OR(E62="",F62="",G62=""),"",(E62*F62*4)/(E62*F62*G62/16384))</f>
        <v/>
      </c>
      <c r="O62" s="120">
        <f>IF(AND(ISNUMBER(M62),M62&gt;0),MIN(1,128/M62),"")</f>
        <v/>
      </c>
      <c r="P62" s="120">
        <f>IF(AND(ISNUMBER(N62),N62&gt;0),MIN(1,512/N62),"")</f>
        <v/>
      </c>
      <c r="Q62" s="120">
        <f>IF(AND(ISNUMBER(O62),ISNUMBER(P62)),MIN(O62,P62),"")</f>
        <v/>
      </c>
      <c r="R62" s="121" t="n"/>
      <c r="S62" s="95" t="inlineStr">
        <is>
          <t>COMPILE_FAIL</t>
        </is>
      </c>
      <c r="T62" t="inlineStr">
        <is>
          <t>容量超限：完整 SharedTile 足迹 &gt; 256 KiB；本轮 model-main 9b3a4405 + 8参数(256KB ShareTReg) 2026-09-22</t>
        </is>
      </c>
    </row>
    <row r="63" ht="20" customHeight="1">
      <c r="A63" s="33" t="inlineStr">
        <is>
          <t>MXFP4</t>
        </is>
      </c>
      <c r="B63" s="34" t="n">
        <v>2048</v>
      </c>
      <c r="C63" s="34" t="n">
        <v>256</v>
      </c>
      <c r="D63" s="34" t="n">
        <v>2048</v>
      </c>
      <c r="E63" s="102" t="n">
        <v>128</v>
      </c>
      <c r="F63" s="102" t="n">
        <v>256</v>
      </c>
      <c r="G63" s="102" t="n">
        <v>256</v>
      </c>
      <c r="H63" s="34" t="n">
        <v>36</v>
      </c>
      <c r="I63" s="34" t="n">
        <v>72</v>
      </c>
      <c r="J63" s="34" t="n">
        <v>108</v>
      </c>
      <c r="K63" s="119" t="n">
        <v>205187</v>
      </c>
      <c r="L63" s="118">
        <f>ROUND(B63*C63*D63/16384/K63*100,1)/100</f>
        <v/>
      </c>
      <c r="M63" s="121">
        <f>IF(OR(E63="",F63="",G63=""),"",((H63+I63)*1024)/(E63*F63*G63/16384))</f>
        <v/>
      </c>
      <c r="N63" s="121">
        <f>IF(OR(E63="",F63="",G63=""),"",(E63*F63*4)/(E63*F63*G63/16384))</f>
        <v/>
      </c>
      <c r="O63" s="120">
        <f>IF(AND(ISNUMBER(M63),M63&gt;0),MIN(1,128/M63),"")</f>
        <v/>
      </c>
      <c r="P63" s="120">
        <f>IF(AND(ISNUMBER(N63),N63&gt;0),MIN(1,512/N63),"")</f>
        <v/>
      </c>
      <c r="Q63" s="120">
        <f>IF(AND(ISNUMBER(O63),ISNUMBER(P63)),MIN(O63,P63),"")</f>
        <v/>
      </c>
      <c r="R63" s="121">
        <f>IF(AND(ISNUMBER(L63),ISNUMBER(Q63)),(L63-Q63)*100,"")</f>
        <v/>
      </c>
      <c r="S63" s="89" t="inlineStr">
        <is>
          <t>PASS</t>
        </is>
      </c>
      <c r="T63" t="inlineStr">
        <is>
          <t>本轮 model-main 9b3a4405 + 8参数(256KB ShareTReg) 2026-09-22</t>
        </is>
      </c>
    </row>
    <row r="64" ht="20" customHeight="1">
      <c r="A64" s="33" t="inlineStr">
        <is>
          <t>MXFP4</t>
        </is>
      </c>
      <c r="B64" s="34" t="n">
        <v>2048</v>
      </c>
      <c r="C64" s="34" t="n">
        <v>256</v>
      </c>
      <c r="D64" s="34" t="n">
        <v>2048</v>
      </c>
      <c r="E64" s="34" t="n">
        <v>128</v>
      </c>
      <c r="F64" s="34" t="n">
        <v>256</v>
      </c>
      <c r="G64" s="34" t="n">
        <v>512</v>
      </c>
      <c r="H64" s="34" t="n">
        <v>68</v>
      </c>
      <c r="I64" s="34" t="n">
        <v>136</v>
      </c>
      <c r="J64" s="34" t="n">
        <v>204</v>
      </c>
      <c r="K64" s="119" t="n">
        <v>360378</v>
      </c>
      <c r="L64" s="120">
        <f>ROUND(B64*C64*D64/16384/K64*100,1)/100</f>
        <v/>
      </c>
      <c r="M64" s="121">
        <f>IF(OR(E64="",F64="",G64=""),"",((H64+I64)*1024)/(E64*F64*G64/16384))</f>
        <v/>
      </c>
      <c r="N64" s="121">
        <f>IF(OR(E64="",F64="",G64=""),"",(E64*F64*4)/(E64*F64*G64/16384))</f>
        <v/>
      </c>
      <c r="O64" s="120">
        <f>IF(AND(ISNUMBER(M64),M64&gt;0),MIN(1,128/M64),"")</f>
        <v/>
      </c>
      <c r="P64" s="120">
        <f>IF(AND(ISNUMBER(N64),N64&gt;0),MIN(1,512/N64),"")</f>
        <v/>
      </c>
      <c r="Q64" s="120">
        <f>IF(AND(ISNUMBER(O64),ISNUMBER(P64)),MIN(O64,P64),"")</f>
        <v/>
      </c>
      <c r="R64" s="121">
        <f>IF(AND(ISNUMBER(L64),ISNUMBER(Q64)),(L64-Q64)*100,"")</f>
        <v/>
      </c>
      <c r="S64" s="89" t="inlineStr">
        <is>
          <t>PASS</t>
        </is>
      </c>
      <c r="T64" t="inlineStr">
        <is>
          <t>本轮 model-main 9b3a4405 + 8参数(256KB ShareTReg) 2026-09-22</t>
        </is>
      </c>
    </row>
    <row r="65" ht="20" customHeight="1">
      <c r="A65" s="33" t="inlineStr">
        <is>
          <t>MXFP4</t>
        </is>
      </c>
      <c r="B65" s="34" t="n">
        <v>2048</v>
      </c>
      <c r="C65" s="34" t="n">
        <v>256</v>
      </c>
      <c r="D65" s="34" t="n">
        <v>2048</v>
      </c>
      <c r="E65" s="34" t="n">
        <v>128</v>
      </c>
      <c r="F65" s="34" t="n">
        <v>256</v>
      </c>
      <c r="G65" s="34" t="n">
        <v>1024</v>
      </c>
      <c r="H65" s="34" t="n">
        <v>132</v>
      </c>
      <c r="I65" s="34" t="n">
        <v>264</v>
      </c>
      <c r="J65" s="34" t="n">
        <v>396</v>
      </c>
      <c r="K65" s="119" t="inlineStr">
        <is>
          <t>—</t>
        </is>
      </c>
      <c r="L65" s="120" t="n"/>
      <c r="M65" s="121">
        <f>IF(OR(E65="",F65="",G65=""),"",((H65+I65)*1024)/(E65*F65*G65/16384))</f>
        <v/>
      </c>
      <c r="N65" s="121">
        <f>IF(OR(E65="",F65="",G65=""),"",(E65*F65*4)/(E65*F65*G65/16384))</f>
        <v/>
      </c>
      <c r="O65" s="120">
        <f>IF(AND(ISNUMBER(M65),M65&gt;0),MIN(1,128/M65),"")</f>
        <v/>
      </c>
      <c r="P65" s="120">
        <f>IF(AND(ISNUMBER(N65),N65&gt;0),MIN(1,512/N65),"")</f>
        <v/>
      </c>
      <c r="Q65" s="120">
        <f>IF(AND(ISNUMBER(O65),ISNUMBER(P65)),MIN(O65,P65),"")</f>
        <v/>
      </c>
      <c r="R65" s="121" t="n"/>
      <c r="S65" s="95" t="inlineStr">
        <is>
          <t>COMPILE_FAIL</t>
        </is>
      </c>
      <c r="T65" t="inlineStr">
        <is>
          <t>容量超限：完整 SharedTile 足迹 &gt; 256 KiB；本轮 model-main 9b3a4405 + 8参数(256KB ShareTReg) 2026-09-22</t>
        </is>
      </c>
    </row>
    <row r="66" ht="26" customHeight="1">
      <c r="A66" s="63" t="inlineStr">
        <is>
          <t>▌ S2  —  128×256×7168</t>
        </is>
      </c>
      <c r="B66" s="64" t="n"/>
      <c r="C66" s="64" t="n"/>
      <c r="D66" s="64" t="n"/>
      <c r="E66" s="64" t="n"/>
      <c r="F66" s="64" t="n"/>
      <c r="G66" s="64" t="n"/>
      <c r="H66" s="64" t="n"/>
      <c r="I66" s="64" t="n"/>
      <c r="J66" s="64" t="n"/>
      <c r="K66" s="109" t="n"/>
      <c r="L66" s="110" t="n"/>
      <c r="M66" s="111" t="n"/>
      <c r="N66" s="111" t="n"/>
      <c r="O66" s="110" t="n"/>
      <c r="P66" s="110" t="n"/>
      <c r="Q66" s="110" t="n"/>
      <c r="R66" s="111" t="n"/>
      <c r="S66" s="68" t="n"/>
    </row>
    <row r="67" ht="23" customHeight="1">
      <c r="A67" s="81" t="inlineStr">
        <is>
          <t>FP32</t>
        </is>
      </c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112" t="n"/>
      <c r="L67" s="113" t="n"/>
      <c r="M67" s="114" t="n"/>
      <c r="N67" s="114" t="n"/>
      <c r="O67" s="113" t="n"/>
      <c r="P67" s="113" t="n"/>
      <c r="Q67" s="113" t="n"/>
      <c r="R67" s="114" t="n"/>
      <c r="S67" s="86" t="n"/>
    </row>
    <row r="68" ht="20" customHeight="1">
      <c r="A68" s="39" t="inlineStr">
        <is>
          <t>FP32</t>
        </is>
      </c>
      <c r="B68" s="40" t="n">
        <v>128</v>
      </c>
      <c r="C68" s="40" t="n">
        <v>256</v>
      </c>
      <c r="D68" s="40" t="n">
        <v>7168</v>
      </c>
      <c r="E68" s="40" t="n">
        <v>128</v>
      </c>
      <c r="F68" s="40" t="n">
        <v>64</v>
      </c>
      <c r="G68" s="40" t="n">
        <v>64</v>
      </c>
      <c r="H68" s="40" t="n">
        <v>32</v>
      </c>
      <c r="I68" s="40" t="n">
        <v>16</v>
      </c>
      <c r="J68" s="40" t="n">
        <v>48</v>
      </c>
      <c r="K68" s="122" t="n">
        <v>305193</v>
      </c>
      <c r="L68" s="123">
        <f>ROUND(B68*C68*D68/2048/K68*100,1)/100</f>
        <v/>
      </c>
      <c r="M68" s="124">
        <f>IF(OR(E68="",F68="",G68=""),"",((H68+I68)*1024)/(E68*F68*G68/2048))</f>
        <v/>
      </c>
      <c r="N68" s="124">
        <f>IF(OR(E68="",F68="",G68=""),"",(E68*F68*4)/(E68*F68*G68/2048))</f>
        <v/>
      </c>
      <c r="O68" s="123">
        <f>IF(AND(ISNUMBER(M68),M68&gt;0),MIN(1,128/M68),"")</f>
        <v/>
      </c>
      <c r="P68" s="123">
        <f>IF(AND(ISNUMBER(N68),N68&gt;0),MIN(1,512/N68),"")</f>
        <v/>
      </c>
      <c r="Q68" s="123">
        <f>IF(AND(ISNUMBER(O68),ISNUMBER(P68)),MIN(O68,P68),"")</f>
        <v/>
      </c>
      <c r="R68" s="124">
        <f>IF(AND(ISNUMBER(L68),ISNUMBER(Q68)),(L68-Q68)*100,"")</f>
        <v/>
      </c>
      <c r="S68" s="91" t="inlineStr">
        <is>
          <t>PASS</t>
        </is>
      </c>
      <c r="T68" t="inlineStr">
        <is>
          <t>本轮 model-main 9b3a4405 + 8参数(256KB ShareTReg) 2026-09-22</t>
        </is>
      </c>
    </row>
    <row r="69" ht="20" customHeight="1">
      <c r="A69" s="39" t="inlineStr">
        <is>
          <t>FP32</t>
        </is>
      </c>
      <c r="B69" s="40" t="n">
        <v>128</v>
      </c>
      <c r="C69" s="40" t="n">
        <v>256</v>
      </c>
      <c r="D69" s="40" t="n">
        <v>7168</v>
      </c>
      <c r="E69" s="40" t="n">
        <v>128</v>
      </c>
      <c r="F69" s="40" t="n">
        <v>64</v>
      </c>
      <c r="G69" s="40" t="n">
        <v>128</v>
      </c>
      <c r="H69" s="40" t="n">
        <v>64</v>
      </c>
      <c r="I69" s="40" t="n">
        <v>32</v>
      </c>
      <c r="J69" s="40" t="n">
        <v>96</v>
      </c>
      <c r="K69" s="122" t="n">
        <v>305426</v>
      </c>
      <c r="L69" s="123">
        <f>ROUND(B69*C69*D69/2048/K69*100,1)/100</f>
        <v/>
      </c>
      <c r="M69" s="124">
        <f>IF(OR(E69="",F69="",G69=""),"",((H69+I69)*1024)/(E69*F69*G69/2048))</f>
        <v/>
      </c>
      <c r="N69" s="124">
        <f>IF(OR(E69="",F69="",G69=""),"",(E69*F69*4)/(E69*F69*G69/2048))</f>
        <v/>
      </c>
      <c r="O69" s="123">
        <f>IF(AND(ISNUMBER(M69),M69&gt;0),MIN(1,128/M69),"")</f>
        <v/>
      </c>
      <c r="P69" s="123">
        <f>IF(AND(ISNUMBER(N69),N69&gt;0),MIN(1,512/N69),"")</f>
        <v/>
      </c>
      <c r="Q69" s="123">
        <f>IF(AND(ISNUMBER(O69),ISNUMBER(P69)),MIN(O69,P69),"")</f>
        <v/>
      </c>
      <c r="R69" s="124">
        <f>IF(AND(ISNUMBER(L69),ISNUMBER(Q69)),(L69-Q69)*100,"")</f>
        <v/>
      </c>
      <c r="S69" s="91" t="inlineStr">
        <is>
          <t>PASS</t>
        </is>
      </c>
      <c r="T69" t="inlineStr">
        <is>
          <t>本轮 model-main 9b3a4405 + 8参数(256KB ShareTReg) 2026-09-22</t>
        </is>
      </c>
    </row>
    <row r="70" ht="20" customHeight="1">
      <c r="A70" s="39" t="inlineStr">
        <is>
          <t>FP32</t>
        </is>
      </c>
      <c r="B70" s="40" t="n">
        <v>128</v>
      </c>
      <c r="C70" s="40" t="n">
        <v>256</v>
      </c>
      <c r="D70" s="40" t="n">
        <v>7168</v>
      </c>
      <c r="E70" s="40" t="n">
        <v>128</v>
      </c>
      <c r="F70" s="40" t="n">
        <v>64</v>
      </c>
      <c r="G70" s="40" t="n">
        <v>256</v>
      </c>
      <c r="H70" s="40" t="n">
        <v>128</v>
      </c>
      <c r="I70" s="40" t="n">
        <v>64</v>
      </c>
      <c r="J70" s="40" t="n">
        <v>192</v>
      </c>
      <c r="K70" s="122" t="n">
        <v>579027</v>
      </c>
      <c r="L70" s="123">
        <f>ROUND(B70*C70*D70/2048/K70*100,1)/100</f>
        <v/>
      </c>
      <c r="M70" s="124">
        <f>IF(OR(E70="",F70="",G70=""),"",((H70+I70)*1024)/(E70*F70*G70/2048))</f>
        <v/>
      </c>
      <c r="N70" s="124">
        <f>IF(OR(E70="",F70="",G70=""),"",(E70*F70*4)/(E70*F70*G70/2048))</f>
        <v/>
      </c>
      <c r="O70" s="123">
        <f>IF(AND(ISNUMBER(M70),M70&gt;0),MIN(1,128/M70),"")</f>
        <v/>
      </c>
      <c r="P70" s="123">
        <f>IF(AND(ISNUMBER(N70),N70&gt;0),MIN(1,512/N70),"")</f>
        <v/>
      </c>
      <c r="Q70" s="123">
        <f>IF(AND(ISNUMBER(O70),ISNUMBER(P70)),MIN(O70,P70),"")</f>
        <v/>
      </c>
      <c r="R70" s="124">
        <f>IF(AND(ISNUMBER(L70),ISNUMBER(Q70)),(L70-Q70)*100,"")</f>
        <v/>
      </c>
      <c r="S70" s="91" t="inlineStr">
        <is>
          <t>PASS</t>
        </is>
      </c>
      <c r="T70" t="inlineStr">
        <is>
          <t>本轮 model-main 9b3a4405 + 8参数(256KB ShareTReg) 2026-09-22</t>
        </is>
      </c>
    </row>
    <row r="71" ht="20" customHeight="1">
      <c r="A71" s="39" t="inlineStr">
        <is>
          <t>FP32</t>
        </is>
      </c>
      <c r="B71" s="40" t="n">
        <v>128</v>
      </c>
      <c r="C71" s="40" t="n">
        <v>256</v>
      </c>
      <c r="D71" s="40" t="n">
        <v>7168</v>
      </c>
      <c r="E71" s="40" t="n">
        <v>128</v>
      </c>
      <c r="F71" s="40" t="n">
        <v>128</v>
      </c>
      <c r="G71" s="40" t="n">
        <v>64</v>
      </c>
      <c r="H71" s="40" t="n">
        <v>32</v>
      </c>
      <c r="I71" s="40" t="n">
        <v>32</v>
      </c>
      <c r="J71" s="40" t="n">
        <v>64</v>
      </c>
      <c r="K71" s="122" t="n">
        <v>204112</v>
      </c>
      <c r="L71" s="123">
        <f>ROUND(B71*C71*D71/2048/K71*100,1)/100</f>
        <v/>
      </c>
      <c r="M71" s="124">
        <f>IF(OR(E71="",F71="",G71=""),"",((H71+I71)*1024)/(E71*F71*G71/2048))</f>
        <v/>
      </c>
      <c r="N71" s="124">
        <f>IF(OR(E71="",F71="",G71=""),"",(E71*F71*4)/(E71*F71*G71/2048))</f>
        <v/>
      </c>
      <c r="O71" s="123">
        <f>IF(AND(ISNUMBER(M71),M71&gt;0),MIN(1,128/M71),"")</f>
        <v/>
      </c>
      <c r="P71" s="123">
        <f>IF(AND(ISNUMBER(N71),N71&gt;0),MIN(1,512/N71),"")</f>
        <v/>
      </c>
      <c r="Q71" s="123">
        <f>IF(AND(ISNUMBER(O71),ISNUMBER(P71)),MIN(O71,P71),"")</f>
        <v/>
      </c>
      <c r="R71" s="124">
        <f>IF(AND(ISNUMBER(L71),ISNUMBER(Q71)),(L71-Q71)*100,"")</f>
        <v/>
      </c>
      <c r="S71" s="91" t="inlineStr">
        <is>
          <t>PASS</t>
        </is>
      </c>
      <c r="T71" t="inlineStr">
        <is>
          <t>本轮 model-main 9b3a4405 + 8参数(256KB ShareTReg) 2026-09-22</t>
        </is>
      </c>
    </row>
    <row r="72" ht="20" customHeight="1">
      <c r="A72" s="39" t="inlineStr">
        <is>
          <t>FP32</t>
        </is>
      </c>
      <c r="B72" s="40" t="n">
        <v>128</v>
      </c>
      <c r="C72" s="40" t="n">
        <v>256</v>
      </c>
      <c r="D72" s="40" t="n">
        <v>7168</v>
      </c>
      <c r="E72" s="40" t="n">
        <v>128</v>
      </c>
      <c r="F72" s="40" t="n">
        <v>128</v>
      </c>
      <c r="G72" s="40" t="n">
        <v>128</v>
      </c>
      <c r="H72" s="40" t="n">
        <v>64</v>
      </c>
      <c r="I72" s="40" t="n">
        <v>64</v>
      </c>
      <c r="J72" s="40" t="n">
        <v>128</v>
      </c>
      <c r="K72" s="122" t="n">
        <v>207913</v>
      </c>
      <c r="L72" s="123">
        <f>ROUND(B72*C72*D72/2048/K72*100,1)/100</f>
        <v/>
      </c>
      <c r="M72" s="124">
        <f>IF(OR(E72="",F72="",G72=""),"",((H72+I72)*1024)/(E72*F72*G72/2048))</f>
        <v/>
      </c>
      <c r="N72" s="124">
        <f>IF(OR(E72="",F72="",G72=""),"",(E72*F72*4)/(E72*F72*G72/2048))</f>
        <v/>
      </c>
      <c r="O72" s="123">
        <f>IF(AND(ISNUMBER(M72),M72&gt;0),MIN(1,128/M72),"")</f>
        <v/>
      </c>
      <c r="P72" s="123">
        <f>IF(AND(ISNUMBER(N72),N72&gt;0),MIN(1,512/N72),"")</f>
        <v/>
      </c>
      <c r="Q72" s="123">
        <f>IF(AND(ISNUMBER(O72),ISNUMBER(P72)),MIN(O72,P72),"")</f>
        <v/>
      </c>
      <c r="R72" s="124">
        <f>IF(AND(ISNUMBER(L72),ISNUMBER(Q72)),(L72-Q72)*100,"")</f>
        <v/>
      </c>
      <c r="S72" s="91" t="inlineStr">
        <is>
          <t>PASS</t>
        </is>
      </c>
      <c r="T72" t="inlineStr">
        <is>
          <t>本轮 model-main 9b3a4405 + 8参数(256KB ShareTReg) 2026-09-22</t>
        </is>
      </c>
    </row>
    <row r="73" ht="20" customHeight="1">
      <c r="A73" s="39" t="inlineStr">
        <is>
          <t>FP32</t>
        </is>
      </c>
      <c r="B73" s="40" t="n">
        <v>128</v>
      </c>
      <c r="C73" s="40" t="n">
        <v>256</v>
      </c>
      <c r="D73" s="40" t="n">
        <v>7168</v>
      </c>
      <c r="E73" s="40" t="n">
        <v>128</v>
      </c>
      <c r="F73" s="40" t="n">
        <v>128</v>
      </c>
      <c r="G73" s="40" t="n">
        <v>256</v>
      </c>
      <c r="H73" s="40" t="n">
        <v>128</v>
      </c>
      <c r="I73" s="40" t="n">
        <v>128</v>
      </c>
      <c r="J73" s="40" t="n">
        <v>256</v>
      </c>
      <c r="K73" s="122" t="n">
        <v>397839</v>
      </c>
      <c r="L73" s="123">
        <f>ROUND(B73*C73*D73/2048/K73*100,1)/100</f>
        <v/>
      </c>
      <c r="M73" s="124">
        <f>IF(OR(E73="",F73="",G73=""),"",((H73+I73)*1024)/(E73*F73*G73/2048))</f>
        <v/>
      </c>
      <c r="N73" s="124">
        <f>IF(OR(E73="",F73="",G73=""),"",(E73*F73*4)/(E73*F73*G73/2048))</f>
        <v/>
      </c>
      <c r="O73" s="123">
        <f>IF(AND(ISNUMBER(M73),M73&gt;0),MIN(1,128/M73),"")</f>
        <v/>
      </c>
      <c r="P73" s="123">
        <f>IF(AND(ISNUMBER(N73),N73&gt;0),MIN(1,512/N73),"")</f>
        <v/>
      </c>
      <c r="Q73" s="123">
        <f>IF(AND(ISNUMBER(O73),ISNUMBER(P73)),MIN(O73,P73),"")</f>
        <v/>
      </c>
      <c r="R73" s="124">
        <f>IF(AND(ISNUMBER(L73),ISNUMBER(Q73)),(L73-Q73)*100,"")</f>
        <v/>
      </c>
      <c r="S73" s="91" t="inlineStr">
        <is>
          <t>PASS</t>
        </is>
      </c>
      <c r="T73" t="inlineStr">
        <is>
          <t>本轮 model-main 9b3a4405 + 8参数(256KB ShareTReg) 2026-09-22</t>
        </is>
      </c>
    </row>
    <row r="74" ht="20" customHeight="1">
      <c r="A74" s="39" t="inlineStr">
        <is>
          <t>FP32</t>
        </is>
      </c>
      <c r="B74" s="40" t="n">
        <v>128</v>
      </c>
      <c r="C74" s="40" t="n">
        <v>256</v>
      </c>
      <c r="D74" s="40" t="n">
        <v>7168</v>
      </c>
      <c r="E74" s="103" t="n">
        <v>128</v>
      </c>
      <c r="F74" s="103" t="n">
        <v>256</v>
      </c>
      <c r="G74" s="103" t="n">
        <v>64</v>
      </c>
      <c r="H74" s="40" t="n">
        <v>32</v>
      </c>
      <c r="I74" s="40" t="n">
        <v>64</v>
      </c>
      <c r="J74" s="40" t="n">
        <v>96</v>
      </c>
      <c r="K74" s="122" t="n">
        <v>154387</v>
      </c>
      <c r="L74" s="118">
        <f>ROUND(B74*C74*D74/2048/K74*100,1)/100</f>
        <v/>
      </c>
      <c r="M74" s="124">
        <f>IF(OR(E74="",F74="",G74=""),"",((H74+I74)*1024)/(E74*F74*G74/2048))</f>
        <v/>
      </c>
      <c r="N74" s="124">
        <f>IF(OR(E74="",F74="",G74=""),"",(E74*F74*4)/(E74*F74*G74/2048))</f>
        <v/>
      </c>
      <c r="O74" s="123">
        <f>IF(AND(ISNUMBER(M74),M74&gt;0),MIN(1,128/M74),"")</f>
        <v/>
      </c>
      <c r="P74" s="123">
        <f>IF(AND(ISNUMBER(N74),N74&gt;0),MIN(1,512/N74),"")</f>
        <v/>
      </c>
      <c r="Q74" s="123">
        <f>IF(AND(ISNUMBER(O74),ISNUMBER(P74)),MIN(O74,P74),"")</f>
        <v/>
      </c>
      <c r="R74" s="124">
        <f>IF(AND(ISNUMBER(L74),ISNUMBER(Q74)),(L74-Q74)*100,"")</f>
        <v/>
      </c>
      <c r="S74" s="91" t="inlineStr">
        <is>
          <t>PASS</t>
        </is>
      </c>
      <c r="T74" t="inlineStr">
        <is>
          <t>本轮 model-main 9b3a4405 + 8参数(256KB ShareTReg) 2026-09-22</t>
        </is>
      </c>
    </row>
    <row r="75" ht="20" customHeight="1">
      <c r="A75" s="39" t="inlineStr">
        <is>
          <t>FP32</t>
        </is>
      </c>
      <c r="B75" s="40" t="n">
        <v>128</v>
      </c>
      <c r="C75" s="40" t="n">
        <v>256</v>
      </c>
      <c r="D75" s="40" t="n">
        <v>7168</v>
      </c>
      <c r="E75" s="40" t="n">
        <v>128</v>
      </c>
      <c r="F75" s="40" t="n">
        <v>256</v>
      </c>
      <c r="G75" s="40" t="n">
        <v>128</v>
      </c>
      <c r="H75" s="40" t="n">
        <v>64</v>
      </c>
      <c r="I75" s="40" t="n">
        <v>128</v>
      </c>
      <c r="J75" s="40" t="n">
        <v>192</v>
      </c>
      <c r="K75" s="122" t="n">
        <v>261606</v>
      </c>
      <c r="L75" s="123">
        <f>ROUND(B75*C75*D75/2048/K75*100,1)/100</f>
        <v/>
      </c>
      <c r="M75" s="124">
        <f>IF(OR(E75="",F75="",G75=""),"",((H75+I75)*1024)/(E75*F75*G75/2048))</f>
        <v/>
      </c>
      <c r="N75" s="124">
        <f>IF(OR(E75="",F75="",G75=""),"",(E75*F75*4)/(E75*F75*G75/2048))</f>
        <v/>
      </c>
      <c r="O75" s="123">
        <f>IF(AND(ISNUMBER(M75),M75&gt;0),MIN(1,128/M75),"")</f>
        <v/>
      </c>
      <c r="P75" s="123">
        <f>IF(AND(ISNUMBER(N75),N75&gt;0),MIN(1,512/N75),"")</f>
        <v/>
      </c>
      <c r="Q75" s="123">
        <f>IF(AND(ISNUMBER(O75),ISNUMBER(P75)),MIN(O75,P75),"")</f>
        <v/>
      </c>
      <c r="R75" s="124">
        <f>IF(AND(ISNUMBER(L75),ISNUMBER(Q75)),(L75-Q75)*100,"")</f>
        <v/>
      </c>
      <c r="S75" s="91" t="inlineStr">
        <is>
          <t>PASS</t>
        </is>
      </c>
      <c r="T75" t="inlineStr">
        <is>
          <t>本轮 model-main 9b3a4405 + 8参数(256KB ShareTReg) 2026-09-22</t>
        </is>
      </c>
    </row>
    <row r="76" ht="20" customHeight="1">
      <c r="A76" s="39" t="inlineStr">
        <is>
          <t>FP32</t>
        </is>
      </c>
      <c r="B76" s="40" t="n">
        <v>128</v>
      </c>
      <c r="C76" s="40" t="n">
        <v>256</v>
      </c>
      <c r="D76" s="40" t="n">
        <v>7168</v>
      </c>
      <c r="E76" s="40" t="n">
        <v>128</v>
      </c>
      <c r="F76" s="40" t="n">
        <v>256</v>
      </c>
      <c r="G76" s="40" t="n">
        <v>256</v>
      </c>
      <c r="H76" s="40" t="n">
        <v>128</v>
      </c>
      <c r="I76" s="40" t="n">
        <v>256</v>
      </c>
      <c r="J76" s="40" t="n">
        <v>384</v>
      </c>
      <c r="K76" s="122" t="inlineStr">
        <is>
          <t>—</t>
        </is>
      </c>
      <c r="L76" s="123" t="n"/>
      <c r="M76" s="124">
        <f>IF(OR(E76="",F76="",G76=""),"",((H76+I76)*1024)/(E76*F76*G76/2048))</f>
        <v/>
      </c>
      <c r="N76" s="124">
        <f>IF(OR(E76="",F76="",G76=""),"",(E76*F76*4)/(E76*F76*G76/2048))</f>
        <v/>
      </c>
      <c r="O76" s="123">
        <f>IF(AND(ISNUMBER(M76),M76&gt;0),MIN(1,128/M76),"")</f>
        <v/>
      </c>
      <c r="P76" s="123">
        <f>IF(AND(ISNUMBER(N76),N76&gt;0),MIN(1,512/N76),"")</f>
        <v/>
      </c>
      <c r="Q76" s="123">
        <f>IF(AND(ISNUMBER(O76),ISNUMBER(P76)),MIN(O76,P76),"")</f>
        <v/>
      </c>
      <c r="R76" s="124" t="n"/>
      <c r="S76" s="96" t="inlineStr">
        <is>
          <t>COMPILE_FAIL</t>
        </is>
      </c>
      <c r="T76" t="inlineStr">
        <is>
          <t>容量超限：完整 SharedTile 足迹 &gt; 256 KiB；本轮 model-main 9b3a4405 + 8参数(256KB ShareTReg) 2026-09-22</t>
        </is>
      </c>
    </row>
    <row r="77" ht="23" customHeight="1">
      <c r="A77" s="81" t="inlineStr">
        <is>
          <t>BF16</t>
        </is>
      </c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112" t="n"/>
      <c r="L77" s="113" t="n"/>
      <c r="M77" s="114" t="n"/>
      <c r="N77" s="114" t="n"/>
      <c r="O77" s="113" t="n"/>
      <c r="P77" s="113" t="n"/>
      <c r="Q77" s="113" t="n"/>
      <c r="R77" s="114" t="n"/>
      <c r="S77" s="86" t="n"/>
    </row>
    <row r="78" ht="20" customHeight="1">
      <c r="A78" s="45" t="inlineStr">
        <is>
          <t>BF16</t>
        </is>
      </c>
      <c r="B78" s="46" t="n">
        <v>128</v>
      </c>
      <c r="C78" s="46" t="n">
        <v>256</v>
      </c>
      <c r="D78" s="46" t="n">
        <v>7168</v>
      </c>
      <c r="E78" s="46" t="n">
        <v>128</v>
      </c>
      <c r="F78" s="46" t="n">
        <v>64</v>
      </c>
      <c r="G78" s="46" t="n">
        <v>64</v>
      </c>
      <c r="H78" s="46" t="n">
        <v>16</v>
      </c>
      <c r="I78" s="46" t="n">
        <v>8</v>
      </c>
      <c r="J78" s="46" t="n">
        <v>24</v>
      </c>
      <c r="K78" s="125" t="n">
        <v>153615</v>
      </c>
      <c r="L78" s="126">
        <f>ROUND(B78*C78*D78/4096/K78*100,1)/100</f>
        <v/>
      </c>
      <c r="M78" s="127">
        <f>IF(OR(E78="",F78="",G78=""),"",((H78+I78)*1024)/(E78*F78*G78/4096))</f>
        <v/>
      </c>
      <c r="N78" s="127">
        <f>IF(OR(E78="",F78="",G78=""),"",(E78*F78*4)/(E78*F78*G78/4096))</f>
        <v/>
      </c>
      <c r="O78" s="126">
        <f>IF(AND(ISNUMBER(M78),M78&gt;0),MIN(1,128/M78),"")</f>
        <v/>
      </c>
      <c r="P78" s="126">
        <f>IF(AND(ISNUMBER(N78),N78&gt;0),MIN(1,512/N78),"")</f>
        <v/>
      </c>
      <c r="Q78" s="126">
        <f>IF(AND(ISNUMBER(O78),ISNUMBER(P78)),MIN(O78,P78),"")</f>
        <v/>
      </c>
      <c r="R78" s="127">
        <f>IF(AND(ISNUMBER(L78),ISNUMBER(Q78)),(L78-Q78)*100,"")</f>
        <v/>
      </c>
      <c r="S78" s="92" t="inlineStr">
        <is>
          <t>PASS</t>
        </is>
      </c>
      <c r="T78" t="inlineStr">
        <is>
          <t>本轮 model-main 9b3a4405 + 8参数(256KB ShareTReg) 2026-09-22</t>
        </is>
      </c>
    </row>
    <row r="79" ht="20" customHeight="1">
      <c r="A79" s="45" t="inlineStr">
        <is>
          <t>BF16</t>
        </is>
      </c>
      <c r="B79" s="46" t="n">
        <v>128</v>
      </c>
      <c r="C79" s="46" t="n">
        <v>256</v>
      </c>
      <c r="D79" s="46" t="n">
        <v>7168</v>
      </c>
      <c r="E79" s="46" t="n">
        <v>128</v>
      </c>
      <c r="F79" s="46" t="n">
        <v>64</v>
      </c>
      <c r="G79" s="46" t="n">
        <v>128</v>
      </c>
      <c r="H79" s="46" t="n">
        <v>32</v>
      </c>
      <c r="I79" s="46" t="n">
        <v>16</v>
      </c>
      <c r="J79" s="46" t="n">
        <v>48</v>
      </c>
      <c r="K79" s="125" t="n">
        <v>153813</v>
      </c>
      <c r="L79" s="126">
        <f>ROUND(B79*C79*D79/4096/K79*100,1)/100</f>
        <v/>
      </c>
      <c r="M79" s="127">
        <f>IF(OR(E79="",F79="",G79=""),"",((H79+I79)*1024)/(E79*F79*G79/4096))</f>
        <v/>
      </c>
      <c r="N79" s="127">
        <f>IF(OR(E79="",F79="",G79=""),"",(E79*F79*4)/(E79*F79*G79/4096))</f>
        <v/>
      </c>
      <c r="O79" s="126">
        <f>IF(AND(ISNUMBER(M79),M79&gt;0),MIN(1,128/M79),"")</f>
        <v/>
      </c>
      <c r="P79" s="126">
        <f>IF(AND(ISNUMBER(N79),N79&gt;0),MIN(1,512/N79),"")</f>
        <v/>
      </c>
      <c r="Q79" s="126">
        <f>IF(AND(ISNUMBER(O79),ISNUMBER(P79)),MIN(O79,P79),"")</f>
        <v/>
      </c>
      <c r="R79" s="127">
        <f>IF(AND(ISNUMBER(L79),ISNUMBER(Q79)),(L79-Q79)*100,"")</f>
        <v/>
      </c>
      <c r="S79" s="92" t="inlineStr">
        <is>
          <t>PASS</t>
        </is>
      </c>
      <c r="T79" t="inlineStr">
        <is>
          <t>本轮 model-main 9b3a4405 + 8参数(256KB ShareTReg) 2026-09-22</t>
        </is>
      </c>
    </row>
    <row r="80" ht="20" customHeight="1">
      <c r="A80" s="45" t="inlineStr">
        <is>
          <t>BF16</t>
        </is>
      </c>
      <c r="B80" s="46" t="n">
        <v>128</v>
      </c>
      <c r="C80" s="46" t="n">
        <v>256</v>
      </c>
      <c r="D80" s="46" t="n">
        <v>7168</v>
      </c>
      <c r="E80" s="46" t="n">
        <v>128</v>
      </c>
      <c r="F80" s="46" t="n">
        <v>64</v>
      </c>
      <c r="G80" s="46" t="n">
        <v>256</v>
      </c>
      <c r="H80" s="46" t="n">
        <v>64</v>
      </c>
      <c r="I80" s="46" t="n">
        <v>32</v>
      </c>
      <c r="J80" s="46" t="n">
        <v>96</v>
      </c>
      <c r="K80" s="125" t="n">
        <v>154495</v>
      </c>
      <c r="L80" s="126">
        <f>ROUND(B80*C80*D80/4096/K80*100,1)/100</f>
        <v/>
      </c>
      <c r="M80" s="127">
        <f>IF(OR(E80="",F80="",G80=""),"",((H80+I80)*1024)/(E80*F80*G80/4096))</f>
        <v/>
      </c>
      <c r="N80" s="127">
        <f>IF(OR(E80="",F80="",G80=""),"",(E80*F80*4)/(E80*F80*G80/4096))</f>
        <v/>
      </c>
      <c r="O80" s="126">
        <f>IF(AND(ISNUMBER(M80),M80&gt;0),MIN(1,128/M80),"")</f>
        <v/>
      </c>
      <c r="P80" s="126">
        <f>IF(AND(ISNUMBER(N80),N80&gt;0),MIN(1,512/N80),"")</f>
        <v/>
      </c>
      <c r="Q80" s="126">
        <f>IF(AND(ISNUMBER(O80),ISNUMBER(P80)),MIN(O80,P80),"")</f>
        <v/>
      </c>
      <c r="R80" s="127">
        <f>IF(AND(ISNUMBER(L80),ISNUMBER(Q80)),(L80-Q80)*100,"")</f>
        <v/>
      </c>
      <c r="S80" s="92" t="inlineStr">
        <is>
          <t>PASS</t>
        </is>
      </c>
      <c r="T80" t="inlineStr">
        <is>
          <t>本轮 model-main 9b3a4405 + 8参数(256KB ShareTReg) 2026-09-22</t>
        </is>
      </c>
    </row>
    <row r="81" ht="20" customHeight="1">
      <c r="A81" s="45" t="inlineStr">
        <is>
          <t>BF16</t>
        </is>
      </c>
      <c r="B81" s="46" t="n">
        <v>128</v>
      </c>
      <c r="C81" s="46" t="n">
        <v>256</v>
      </c>
      <c r="D81" s="46" t="n">
        <v>7168</v>
      </c>
      <c r="E81" s="46" t="n">
        <v>128</v>
      </c>
      <c r="F81" s="46" t="n">
        <v>128</v>
      </c>
      <c r="G81" s="46" t="n">
        <v>64</v>
      </c>
      <c r="H81" s="46" t="n">
        <v>16</v>
      </c>
      <c r="I81" s="46" t="n">
        <v>16</v>
      </c>
      <c r="J81" s="46" t="n">
        <v>32</v>
      </c>
      <c r="K81" s="125" t="n">
        <v>103237</v>
      </c>
      <c r="L81" s="126">
        <f>ROUND(B81*C81*D81/4096/K81*100,1)/100</f>
        <v/>
      </c>
      <c r="M81" s="127">
        <f>IF(OR(E81="",F81="",G81=""),"",((H81+I81)*1024)/(E81*F81*G81/4096))</f>
        <v/>
      </c>
      <c r="N81" s="127">
        <f>IF(OR(E81="",F81="",G81=""),"",(E81*F81*4)/(E81*F81*G81/4096))</f>
        <v/>
      </c>
      <c r="O81" s="126">
        <f>IF(AND(ISNUMBER(M81),M81&gt;0),MIN(1,128/M81),"")</f>
        <v/>
      </c>
      <c r="P81" s="126">
        <f>IF(AND(ISNUMBER(N81),N81&gt;0),MIN(1,512/N81),"")</f>
        <v/>
      </c>
      <c r="Q81" s="126">
        <f>IF(AND(ISNUMBER(O81),ISNUMBER(P81)),MIN(O81,P81),"")</f>
        <v/>
      </c>
      <c r="R81" s="127">
        <f>IF(AND(ISNUMBER(L81),ISNUMBER(Q81)),(L81-Q81)*100,"")</f>
        <v/>
      </c>
      <c r="S81" s="92" t="inlineStr">
        <is>
          <t>PASS</t>
        </is>
      </c>
      <c r="T81" t="inlineStr">
        <is>
          <t>本轮 model-main 9b3a4405 + 8参数(256KB ShareTReg) 2026-09-22</t>
        </is>
      </c>
    </row>
    <row r="82" ht="20" customHeight="1">
      <c r="A82" s="45" t="inlineStr">
        <is>
          <t>BF16</t>
        </is>
      </c>
      <c r="B82" s="46" t="n">
        <v>128</v>
      </c>
      <c r="C82" s="46" t="n">
        <v>256</v>
      </c>
      <c r="D82" s="46" t="n">
        <v>7168</v>
      </c>
      <c r="E82" s="46" t="n">
        <v>128</v>
      </c>
      <c r="F82" s="46" t="n">
        <v>128</v>
      </c>
      <c r="G82" s="46" t="n">
        <v>128</v>
      </c>
      <c r="H82" s="46" t="n">
        <v>32</v>
      </c>
      <c r="I82" s="46" t="n">
        <v>32</v>
      </c>
      <c r="J82" s="46" t="n">
        <v>64</v>
      </c>
      <c r="K82" s="125" t="n">
        <v>103552</v>
      </c>
      <c r="L82" s="126">
        <f>ROUND(B82*C82*D82/4096/K82*100,1)/100</f>
        <v/>
      </c>
      <c r="M82" s="127">
        <f>IF(OR(E82="",F82="",G82=""),"",((H82+I82)*1024)/(E82*F82*G82/4096))</f>
        <v/>
      </c>
      <c r="N82" s="127">
        <f>IF(OR(E82="",F82="",G82=""),"",(E82*F82*4)/(E82*F82*G82/4096))</f>
        <v/>
      </c>
      <c r="O82" s="126">
        <f>IF(AND(ISNUMBER(M82),M82&gt;0),MIN(1,128/M82),"")</f>
        <v/>
      </c>
      <c r="P82" s="126">
        <f>IF(AND(ISNUMBER(N82),N82&gt;0),MIN(1,512/N82),"")</f>
        <v/>
      </c>
      <c r="Q82" s="126">
        <f>IF(AND(ISNUMBER(O82),ISNUMBER(P82)),MIN(O82,P82),"")</f>
        <v/>
      </c>
      <c r="R82" s="127">
        <f>IF(AND(ISNUMBER(L82),ISNUMBER(Q82)),(L82-Q82)*100,"")</f>
        <v/>
      </c>
      <c r="S82" s="92" t="inlineStr">
        <is>
          <t>PASS</t>
        </is>
      </c>
      <c r="T82" t="inlineStr">
        <is>
          <t>本轮 model-main 9b3a4405 + 8参数(256KB ShareTReg) 2026-09-22</t>
        </is>
      </c>
    </row>
    <row r="83" ht="20" customHeight="1">
      <c r="A83" s="45" t="inlineStr">
        <is>
          <t>BF16</t>
        </is>
      </c>
      <c r="B83" s="46" t="n">
        <v>128</v>
      </c>
      <c r="C83" s="46" t="n">
        <v>256</v>
      </c>
      <c r="D83" s="46" t="n">
        <v>7168</v>
      </c>
      <c r="E83" s="46" t="n">
        <v>128</v>
      </c>
      <c r="F83" s="46" t="n">
        <v>128</v>
      </c>
      <c r="G83" s="46" t="n">
        <v>256</v>
      </c>
      <c r="H83" s="46" t="n">
        <v>64</v>
      </c>
      <c r="I83" s="46" t="n">
        <v>64</v>
      </c>
      <c r="J83" s="46" t="n">
        <v>128</v>
      </c>
      <c r="K83" s="125" t="n">
        <v>105690</v>
      </c>
      <c r="L83" s="126">
        <f>ROUND(B83*C83*D83/4096/K83*100,1)/100</f>
        <v/>
      </c>
      <c r="M83" s="127">
        <f>IF(OR(E83="",F83="",G83=""),"",((H83+I83)*1024)/(E83*F83*G83/4096))</f>
        <v/>
      </c>
      <c r="N83" s="127">
        <f>IF(OR(E83="",F83="",G83=""),"",(E83*F83*4)/(E83*F83*G83/4096))</f>
        <v/>
      </c>
      <c r="O83" s="126">
        <f>IF(AND(ISNUMBER(M83),M83&gt;0),MIN(1,128/M83),"")</f>
        <v/>
      </c>
      <c r="P83" s="126">
        <f>IF(AND(ISNUMBER(N83),N83&gt;0),MIN(1,512/N83),"")</f>
        <v/>
      </c>
      <c r="Q83" s="126">
        <f>IF(AND(ISNUMBER(O83),ISNUMBER(P83)),MIN(O83,P83),"")</f>
        <v/>
      </c>
      <c r="R83" s="127">
        <f>IF(AND(ISNUMBER(L83),ISNUMBER(Q83)),(L83-Q83)*100,"")</f>
        <v/>
      </c>
      <c r="S83" s="92" t="inlineStr">
        <is>
          <t>PASS</t>
        </is>
      </c>
      <c r="T83" t="inlineStr">
        <is>
          <t>本轮 model-main 9b3a4405 + 8参数(256KB ShareTReg) 2026-09-22</t>
        </is>
      </c>
    </row>
    <row r="84" ht="20" customHeight="1">
      <c r="A84" s="45" t="inlineStr">
        <is>
          <t>BF16</t>
        </is>
      </c>
      <c r="B84" s="46" t="n">
        <v>128</v>
      </c>
      <c r="C84" s="46" t="n">
        <v>256</v>
      </c>
      <c r="D84" s="46" t="n">
        <v>7168</v>
      </c>
      <c r="E84" s="46" t="n">
        <v>128</v>
      </c>
      <c r="F84" s="46" t="n">
        <v>256</v>
      </c>
      <c r="G84" s="46" t="n">
        <v>64</v>
      </c>
      <c r="H84" s="46" t="n">
        <v>16</v>
      </c>
      <c r="I84" s="46" t="n">
        <v>32</v>
      </c>
      <c r="J84" s="46" t="n">
        <v>48</v>
      </c>
      <c r="K84" s="125" t="n">
        <v>78569</v>
      </c>
      <c r="L84" s="126">
        <f>ROUND(B84*C84*D84/4096/K84*100,1)/100</f>
        <v/>
      </c>
      <c r="M84" s="127">
        <f>IF(OR(E84="",F84="",G84=""),"",((H84+I84)*1024)/(E84*F84*G84/4096))</f>
        <v/>
      </c>
      <c r="N84" s="127">
        <f>IF(OR(E84="",F84="",G84=""),"",(E84*F84*4)/(E84*F84*G84/4096))</f>
        <v/>
      </c>
      <c r="O84" s="126">
        <f>IF(AND(ISNUMBER(M84),M84&gt;0),MIN(1,128/M84),"")</f>
        <v/>
      </c>
      <c r="P84" s="126">
        <f>IF(AND(ISNUMBER(N84),N84&gt;0),MIN(1,512/N84),"")</f>
        <v/>
      </c>
      <c r="Q84" s="126">
        <f>IF(AND(ISNUMBER(O84),ISNUMBER(P84)),MIN(O84,P84),"")</f>
        <v/>
      </c>
      <c r="R84" s="127">
        <f>IF(AND(ISNUMBER(L84),ISNUMBER(Q84)),(L84-Q84)*100,"")</f>
        <v/>
      </c>
      <c r="S84" s="92" t="inlineStr">
        <is>
          <t>PASS</t>
        </is>
      </c>
      <c r="T84" t="inlineStr">
        <is>
          <t>本轮 model-main 9b3a4405 + 8参数(256KB ShareTReg) 2026-09-22</t>
        </is>
      </c>
    </row>
    <row r="85" ht="20" customHeight="1">
      <c r="A85" s="45" t="inlineStr">
        <is>
          <t>BF16</t>
        </is>
      </c>
      <c r="B85" s="46" t="n">
        <v>128</v>
      </c>
      <c r="C85" s="46" t="n">
        <v>256</v>
      </c>
      <c r="D85" s="46" t="n">
        <v>7168</v>
      </c>
      <c r="E85" s="104" t="n">
        <v>128</v>
      </c>
      <c r="F85" s="104" t="n">
        <v>256</v>
      </c>
      <c r="G85" s="104" t="n">
        <v>128</v>
      </c>
      <c r="H85" s="46" t="n">
        <v>32</v>
      </c>
      <c r="I85" s="46" t="n">
        <v>64</v>
      </c>
      <c r="J85" s="46" t="n">
        <v>96</v>
      </c>
      <c r="K85" s="125" t="n">
        <v>78986</v>
      </c>
      <c r="L85" s="118">
        <f>ROUND(B85*C85*D85/4096/K85*100,1)/100</f>
        <v/>
      </c>
      <c r="M85" s="127">
        <f>IF(OR(E85="",F85="",G85=""),"",((H85+I85)*1024)/(E85*F85*G85/4096))</f>
        <v/>
      </c>
      <c r="N85" s="127">
        <f>IF(OR(E85="",F85="",G85=""),"",(E85*F85*4)/(E85*F85*G85/4096))</f>
        <v/>
      </c>
      <c r="O85" s="126">
        <f>IF(AND(ISNUMBER(M85),M85&gt;0),MIN(1,128/M85),"")</f>
        <v/>
      </c>
      <c r="P85" s="126">
        <f>IF(AND(ISNUMBER(N85),N85&gt;0),MIN(1,512/N85),"")</f>
        <v/>
      </c>
      <c r="Q85" s="126">
        <f>IF(AND(ISNUMBER(O85),ISNUMBER(P85)),MIN(O85,P85),"")</f>
        <v/>
      </c>
      <c r="R85" s="127">
        <f>IF(AND(ISNUMBER(L85),ISNUMBER(Q85)),(L85-Q85)*100,"")</f>
        <v/>
      </c>
      <c r="S85" s="92" t="inlineStr">
        <is>
          <t>PASS</t>
        </is>
      </c>
      <c r="T85" t="inlineStr">
        <is>
          <t>本轮 model-main 9b3a4405 + 8参数(256KB ShareTReg) 2026-09-22</t>
        </is>
      </c>
    </row>
    <row r="86" ht="20" customHeight="1">
      <c r="A86" s="45" t="inlineStr">
        <is>
          <t>BF16</t>
        </is>
      </c>
      <c r="B86" s="46" t="n">
        <v>128</v>
      </c>
      <c r="C86" s="46" t="n">
        <v>256</v>
      </c>
      <c r="D86" s="46" t="n">
        <v>7168</v>
      </c>
      <c r="E86" s="46" t="n">
        <v>128</v>
      </c>
      <c r="F86" s="46" t="n">
        <v>256</v>
      </c>
      <c r="G86" s="46" t="n">
        <v>256</v>
      </c>
      <c r="H86" s="46" t="n">
        <v>64</v>
      </c>
      <c r="I86" s="46" t="n">
        <v>128</v>
      </c>
      <c r="J86" s="46" t="n">
        <v>192</v>
      </c>
      <c r="K86" s="125" t="n">
        <v>132067</v>
      </c>
      <c r="L86" s="126">
        <f>ROUND(B86*C86*D86/4096/K86*100,1)/100</f>
        <v/>
      </c>
      <c r="M86" s="127">
        <f>IF(OR(E86="",F86="",G86=""),"",((H86+I86)*1024)/(E86*F86*G86/4096))</f>
        <v/>
      </c>
      <c r="N86" s="127">
        <f>IF(OR(E86="",F86="",G86=""),"",(E86*F86*4)/(E86*F86*G86/4096))</f>
        <v/>
      </c>
      <c r="O86" s="126">
        <f>IF(AND(ISNUMBER(M86),M86&gt;0),MIN(1,128/M86),"")</f>
        <v/>
      </c>
      <c r="P86" s="126">
        <f>IF(AND(ISNUMBER(N86),N86&gt;0),MIN(1,512/N86),"")</f>
        <v/>
      </c>
      <c r="Q86" s="126">
        <f>IF(AND(ISNUMBER(O86),ISNUMBER(P86)),MIN(O86,P86),"")</f>
        <v/>
      </c>
      <c r="R86" s="127">
        <f>IF(AND(ISNUMBER(L86),ISNUMBER(Q86)),(L86-Q86)*100,"")</f>
        <v/>
      </c>
      <c r="S86" s="92" t="inlineStr">
        <is>
          <t>PASS</t>
        </is>
      </c>
      <c r="T86" t="inlineStr">
        <is>
          <t>本轮 model-main 9b3a4405 + 8参数(256KB ShareTReg) 2026-09-22</t>
        </is>
      </c>
    </row>
    <row r="87" ht="23" customHeight="1">
      <c r="A87" s="81" t="inlineStr">
        <is>
          <t>FP16</t>
        </is>
      </c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112" t="n"/>
      <c r="L87" s="113" t="n"/>
      <c r="M87" s="114" t="n"/>
      <c r="N87" s="114" t="n"/>
      <c r="O87" s="113" t="n"/>
      <c r="P87" s="113" t="n"/>
      <c r="Q87" s="113" t="n"/>
      <c r="R87" s="114" t="n"/>
      <c r="S87" s="86" t="n"/>
    </row>
    <row r="88" ht="20" customHeight="1">
      <c r="A88" s="27" t="inlineStr">
        <is>
          <t>FP16</t>
        </is>
      </c>
      <c r="B88" s="28" t="n">
        <v>128</v>
      </c>
      <c r="C88" s="28" t="n">
        <v>256</v>
      </c>
      <c r="D88" s="28" t="n">
        <v>7168</v>
      </c>
      <c r="E88" s="28" t="n">
        <v>128</v>
      </c>
      <c r="F88" s="28" t="n">
        <v>64</v>
      </c>
      <c r="G88" s="28" t="n">
        <v>64</v>
      </c>
      <c r="H88" s="28" t="n">
        <v>16</v>
      </c>
      <c r="I88" s="28" t="n">
        <v>8</v>
      </c>
      <c r="J88" s="28" t="n">
        <v>24</v>
      </c>
      <c r="K88" s="115" t="n">
        <v>153615</v>
      </c>
      <c r="L88" s="116">
        <f>ROUND(B88*C88*D88/4096/K88*100,1)/100</f>
        <v/>
      </c>
      <c r="M88" s="117">
        <f>IF(OR(E88="",F88="",G88=""),"",((H88+I88)*1024)/(E88*F88*G88/4096))</f>
        <v/>
      </c>
      <c r="N88" s="117">
        <f>IF(OR(E88="",F88="",G88=""),"",(E88*F88*4)/(E88*F88*G88/4096))</f>
        <v/>
      </c>
      <c r="O88" s="116">
        <f>IF(AND(ISNUMBER(M88),M88&gt;0),MIN(1,128/M88),"")</f>
        <v/>
      </c>
      <c r="P88" s="116">
        <f>IF(AND(ISNUMBER(N88),N88&gt;0),MIN(1,512/N88),"")</f>
        <v/>
      </c>
      <c r="Q88" s="116">
        <f>IF(AND(ISNUMBER(O88),ISNUMBER(P88)),MIN(O88,P88),"")</f>
        <v/>
      </c>
      <c r="R88" s="117">
        <f>IF(AND(ISNUMBER(L88),ISNUMBER(Q88)),(L88-Q88)*100,"")</f>
        <v/>
      </c>
      <c r="S88" s="87" t="inlineStr">
        <is>
          <t>PASS</t>
        </is>
      </c>
      <c r="T88" t="inlineStr">
        <is>
          <t>本轮 model-main 9b3a4405 + 8参数(256KB ShareTReg) 2026-09-22</t>
        </is>
      </c>
    </row>
    <row r="89" ht="20" customHeight="1">
      <c r="A89" s="27" t="inlineStr">
        <is>
          <t>FP16</t>
        </is>
      </c>
      <c r="B89" s="28" t="n">
        <v>128</v>
      </c>
      <c r="C89" s="28" t="n">
        <v>256</v>
      </c>
      <c r="D89" s="28" t="n">
        <v>7168</v>
      </c>
      <c r="E89" s="28" t="n">
        <v>128</v>
      </c>
      <c r="F89" s="28" t="n">
        <v>64</v>
      </c>
      <c r="G89" s="28" t="n">
        <v>128</v>
      </c>
      <c r="H89" s="28" t="n">
        <v>32</v>
      </c>
      <c r="I89" s="28" t="n">
        <v>16</v>
      </c>
      <c r="J89" s="28" t="n">
        <v>48</v>
      </c>
      <c r="K89" s="115" t="n">
        <v>153813</v>
      </c>
      <c r="L89" s="116">
        <f>ROUND(B89*C89*D89/4096/K89*100,1)/100</f>
        <v/>
      </c>
      <c r="M89" s="117">
        <f>IF(OR(E89="",F89="",G89=""),"",((H89+I89)*1024)/(E89*F89*G89/4096))</f>
        <v/>
      </c>
      <c r="N89" s="117">
        <f>IF(OR(E89="",F89="",G89=""),"",(E89*F89*4)/(E89*F89*G89/4096))</f>
        <v/>
      </c>
      <c r="O89" s="116">
        <f>IF(AND(ISNUMBER(M89),M89&gt;0),MIN(1,128/M89),"")</f>
        <v/>
      </c>
      <c r="P89" s="116">
        <f>IF(AND(ISNUMBER(N89),N89&gt;0),MIN(1,512/N89),"")</f>
        <v/>
      </c>
      <c r="Q89" s="116">
        <f>IF(AND(ISNUMBER(O89),ISNUMBER(P89)),MIN(O89,P89),"")</f>
        <v/>
      </c>
      <c r="R89" s="117">
        <f>IF(AND(ISNUMBER(L89),ISNUMBER(Q89)),(L89-Q89)*100,"")</f>
        <v/>
      </c>
      <c r="S89" s="87" t="inlineStr">
        <is>
          <t>PASS</t>
        </is>
      </c>
      <c r="T89" t="inlineStr">
        <is>
          <t>本轮 model-main 9b3a4405 + 8参数(256KB ShareTReg) 2026-09-22</t>
        </is>
      </c>
    </row>
    <row r="90" ht="20" customHeight="1">
      <c r="A90" s="27" t="inlineStr">
        <is>
          <t>FP16</t>
        </is>
      </c>
      <c r="B90" s="28" t="n">
        <v>128</v>
      </c>
      <c r="C90" s="28" t="n">
        <v>256</v>
      </c>
      <c r="D90" s="28" t="n">
        <v>7168</v>
      </c>
      <c r="E90" s="28" t="n">
        <v>128</v>
      </c>
      <c r="F90" s="28" t="n">
        <v>64</v>
      </c>
      <c r="G90" s="28" t="n">
        <v>256</v>
      </c>
      <c r="H90" s="28" t="n">
        <v>64</v>
      </c>
      <c r="I90" s="28" t="n">
        <v>32</v>
      </c>
      <c r="J90" s="28" t="n">
        <v>96</v>
      </c>
      <c r="K90" s="115" t="n">
        <v>154495</v>
      </c>
      <c r="L90" s="116">
        <f>ROUND(B90*C90*D90/4096/K90*100,1)/100</f>
        <v/>
      </c>
      <c r="M90" s="117">
        <f>IF(OR(E90="",F90="",G90=""),"",((H90+I90)*1024)/(E90*F90*G90/4096))</f>
        <v/>
      </c>
      <c r="N90" s="117">
        <f>IF(OR(E90="",F90="",G90=""),"",(E90*F90*4)/(E90*F90*G90/4096))</f>
        <v/>
      </c>
      <c r="O90" s="116">
        <f>IF(AND(ISNUMBER(M90),M90&gt;0),MIN(1,128/M90),"")</f>
        <v/>
      </c>
      <c r="P90" s="116">
        <f>IF(AND(ISNUMBER(N90),N90&gt;0),MIN(1,512/N90),"")</f>
        <v/>
      </c>
      <c r="Q90" s="116">
        <f>IF(AND(ISNUMBER(O90),ISNUMBER(P90)),MIN(O90,P90),"")</f>
        <v/>
      </c>
      <c r="R90" s="117">
        <f>IF(AND(ISNUMBER(L90),ISNUMBER(Q90)),(L90-Q90)*100,"")</f>
        <v/>
      </c>
      <c r="S90" s="87" t="inlineStr">
        <is>
          <t>PASS</t>
        </is>
      </c>
      <c r="T90" t="inlineStr">
        <is>
          <t>本轮 model-main 9b3a4405 + 8参数(256KB ShareTReg) 2026-09-22</t>
        </is>
      </c>
    </row>
    <row r="91" ht="20" customHeight="1">
      <c r="A91" s="27" t="inlineStr">
        <is>
          <t>FP16</t>
        </is>
      </c>
      <c r="B91" s="28" t="n">
        <v>128</v>
      </c>
      <c r="C91" s="28" t="n">
        <v>256</v>
      </c>
      <c r="D91" s="28" t="n">
        <v>7168</v>
      </c>
      <c r="E91" s="28" t="n">
        <v>128</v>
      </c>
      <c r="F91" s="28" t="n">
        <v>128</v>
      </c>
      <c r="G91" s="28" t="n">
        <v>64</v>
      </c>
      <c r="H91" s="28" t="n">
        <v>16</v>
      </c>
      <c r="I91" s="28" t="n">
        <v>16</v>
      </c>
      <c r="J91" s="28" t="n">
        <v>32</v>
      </c>
      <c r="K91" s="115" t="n">
        <v>103237</v>
      </c>
      <c r="L91" s="116">
        <f>ROUND(B91*C91*D91/4096/K91*100,1)/100</f>
        <v/>
      </c>
      <c r="M91" s="117">
        <f>IF(OR(E91="",F91="",G91=""),"",((H91+I91)*1024)/(E91*F91*G91/4096))</f>
        <v/>
      </c>
      <c r="N91" s="117">
        <f>IF(OR(E91="",F91="",G91=""),"",(E91*F91*4)/(E91*F91*G91/4096))</f>
        <v/>
      </c>
      <c r="O91" s="116">
        <f>IF(AND(ISNUMBER(M91),M91&gt;0),MIN(1,128/M91),"")</f>
        <v/>
      </c>
      <c r="P91" s="116">
        <f>IF(AND(ISNUMBER(N91),N91&gt;0),MIN(1,512/N91),"")</f>
        <v/>
      </c>
      <c r="Q91" s="116">
        <f>IF(AND(ISNUMBER(O91),ISNUMBER(P91)),MIN(O91,P91),"")</f>
        <v/>
      </c>
      <c r="R91" s="117">
        <f>IF(AND(ISNUMBER(L91),ISNUMBER(Q91)),(L91-Q91)*100,"")</f>
        <v/>
      </c>
      <c r="S91" s="87" t="inlineStr">
        <is>
          <t>PASS</t>
        </is>
      </c>
      <c r="T91" t="inlineStr">
        <is>
          <t>本轮 model-main 9b3a4405 + 8参数(256KB ShareTReg) 2026-09-22</t>
        </is>
      </c>
    </row>
    <row r="92" ht="20" customHeight="1">
      <c r="A92" s="27" t="inlineStr">
        <is>
          <t>FP16</t>
        </is>
      </c>
      <c r="B92" s="28" t="n">
        <v>128</v>
      </c>
      <c r="C92" s="28" t="n">
        <v>256</v>
      </c>
      <c r="D92" s="28" t="n">
        <v>7168</v>
      </c>
      <c r="E92" s="28" t="n">
        <v>128</v>
      </c>
      <c r="F92" s="28" t="n">
        <v>128</v>
      </c>
      <c r="G92" s="28" t="n">
        <v>128</v>
      </c>
      <c r="H92" s="28" t="n">
        <v>32</v>
      </c>
      <c r="I92" s="28" t="n">
        <v>32</v>
      </c>
      <c r="J92" s="28" t="n">
        <v>64</v>
      </c>
      <c r="K92" s="115" t="n">
        <v>103552</v>
      </c>
      <c r="L92" s="116">
        <f>ROUND(B92*C92*D92/4096/K92*100,1)/100</f>
        <v/>
      </c>
      <c r="M92" s="117">
        <f>IF(OR(E92="",F92="",G92=""),"",((H92+I92)*1024)/(E92*F92*G92/4096))</f>
        <v/>
      </c>
      <c r="N92" s="117">
        <f>IF(OR(E92="",F92="",G92=""),"",(E92*F92*4)/(E92*F92*G92/4096))</f>
        <v/>
      </c>
      <c r="O92" s="116">
        <f>IF(AND(ISNUMBER(M92),M92&gt;0),MIN(1,128/M92),"")</f>
        <v/>
      </c>
      <c r="P92" s="116">
        <f>IF(AND(ISNUMBER(N92),N92&gt;0),MIN(1,512/N92),"")</f>
        <v/>
      </c>
      <c r="Q92" s="116">
        <f>IF(AND(ISNUMBER(O92),ISNUMBER(P92)),MIN(O92,P92),"")</f>
        <v/>
      </c>
      <c r="R92" s="117">
        <f>IF(AND(ISNUMBER(L92),ISNUMBER(Q92)),(L92-Q92)*100,"")</f>
        <v/>
      </c>
      <c r="S92" s="87" t="inlineStr">
        <is>
          <t>PASS</t>
        </is>
      </c>
      <c r="T92" t="inlineStr">
        <is>
          <t>本轮 model-main 9b3a4405 + 8参数(256KB ShareTReg) 2026-09-22</t>
        </is>
      </c>
    </row>
    <row r="93" ht="20" customHeight="1">
      <c r="A93" s="27" t="inlineStr">
        <is>
          <t>FP16</t>
        </is>
      </c>
      <c r="B93" s="28" t="n">
        <v>128</v>
      </c>
      <c r="C93" s="28" t="n">
        <v>256</v>
      </c>
      <c r="D93" s="28" t="n">
        <v>7168</v>
      </c>
      <c r="E93" s="28" t="n">
        <v>128</v>
      </c>
      <c r="F93" s="28" t="n">
        <v>128</v>
      </c>
      <c r="G93" s="28" t="n">
        <v>256</v>
      </c>
      <c r="H93" s="28" t="n">
        <v>64</v>
      </c>
      <c r="I93" s="28" t="n">
        <v>64</v>
      </c>
      <c r="J93" s="28" t="n">
        <v>128</v>
      </c>
      <c r="K93" s="115" t="n">
        <v>105690</v>
      </c>
      <c r="L93" s="116">
        <f>ROUND(B93*C93*D93/4096/K93*100,1)/100</f>
        <v/>
      </c>
      <c r="M93" s="117">
        <f>IF(OR(E93="",F93="",G93=""),"",((H93+I93)*1024)/(E93*F93*G93/4096))</f>
        <v/>
      </c>
      <c r="N93" s="117">
        <f>IF(OR(E93="",F93="",G93=""),"",(E93*F93*4)/(E93*F93*G93/4096))</f>
        <v/>
      </c>
      <c r="O93" s="116">
        <f>IF(AND(ISNUMBER(M93),M93&gt;0),MIN(1,128/M93),"")</f>
        <v/>
      </c>
      <c r="P93" s="116">
        <f>IF(AND(ISNUMBER(N93),N93&gt;0),MIN(1,512/N93),"")</f>
        <v/>
      </c>
      <c r="Q93" s="116">
        <f>IF(AND(ISNUMBER(O93),ISNUMBER(P93)),MIN(O93,P93),"")</f>
        <v/>
      </c>
      <c r="R93" s="117">
        <f>IF(AND(ISNUMBER(L93),ISNUMBER(Q93)),(L93-Q93)*100,"")</f>
        <v/>
      </c>
      <c r="S93" s="87" t="inlineStr">
        <is>
          <t>PASS</t>
        </is>
      </c>
      <c r="T93" t="inlineStr">
        <is>
          <t>本轮 model-main 9b3a4405 + 8参数(256KB ShareTReg) 2026-09-22</t>
        </is>
      </c>
    </row>
    <row r="94" ht="20" customHeight="1">
      <c r="A94" s="27" t="inlineStr">
        <is>
          <t>FP16</t>
        </is>
      </c>
      <c r="B94" s="28" t="n">
        <v>128</v>
      </c>
      <c r="C94" s="28" t="n">
        <v>256</v>
      </c>
      <c r="D94" s="28" t="n">
        <v>7168</v>
      </c>
      <c r="E94" s="28" t="n">
        <v>128</v>
      </c>
      <c r="F94" s="28" t="n">
        <v>256</v>
      </c>
      <c r="G94" s="28" t="n">
        <v>64</v>
      </c>
      <c r="H94" s="28" t="n">
        <v>16</v>
      </c>
      <c r="I94" s="28" t="n">
        <v>32</v>
      </c>
      <c r="J94" s="28" t="n">
        <v>48</v>
      </c>
      <c r="K94" s="115" t="n">
        <v>78569</v>
      </c>
      <c r="L94" s="116">
        <f>ROUND(B94*C94*D94/4096/K94*100,1)/100</f>
        <v/>
      </c>
      <c r="M94" s="117">
        <f>IF(OR(E94="",F94="",G94=""),"",((H94+I94)*1024)/(E94*F94*G94/4096))</f>
        <v/>
      </c>
      <c r="N94" s="117">
        <f>IF(OR(E94="",F94="",G94=""),"",(E94*F94*4)/(E94*F94*G94/4096))</f>
        <v/>
      </c>
      <c r="O94" s="116">
        <f>IF(AND(ISNUMBER(M94),M94&gt;0),MIN(1,128/M94),"")</f>
        <v/>
      </c>
      <c r="P94" s="116">
        <f>IF(AND(ISNUMBER(N94),N94&gt;0),MIN(1,512/N94),"")</f>
        <v/>
      </c>
      <c r="Q94" s="116">
        <f>IF(AND(ISNUMBER(O94),ISNUMBER(P94)),MIN(O94,P94),"")</f>
        <v/>
      </c>
      <c r="R94" s="117">
        <f>IF(AND(ISNUMBER(L94),ISNUMBER(Q94)),(L94-Q94)*100,"")</f>
        <v/>
      </c>
      <c r="S94" s="87" t="inlineStr">
        <is>
          <t>PASS</t>
        </is>
      </c>
      <c r="T94" t="inlineStr">
        <is>
          <t>本轮 model-main 9b3a4405 + 8参数(256KB ShareTReg) 2026-09-22</t>
        </is>
      </c>
    </row>
    <row r="95" ht="20" customHeight="1">
      <c r="A95" s="27" t="inlineStr">
        <is>
          <t>FP16</t>
        </is>
      </c>
      <c r="B95" s="28" t="n">
        <v>128</v>
      </c>
      <c r="C95" s="28" t="n">
        <v>256</v>
      </c>
      <c r="D95" s="28" t="n">
        <v>7168</v>
      </c>
      <c r="E95" s="99" t="n">
        <v>128</v>
      </c>
      <c r="F95" s="99" t="n">
        <v>256</v>
      </c>
      <c r="G95" s="99" t="n">
        <v>128</v>
      </c>
      <c r="H95" s="28" t="n">
        <v>32</v>
      </c>
      <c r="I95" s="28" t="n">
        <v>64</v>
      </c>
      <c r="J95" s="28" t="n">
        <v>96</v>
      </c>
      <c r="K95" s="115" t="n">
        <v>78986</v>
      </c>
      <c r="L95" s="118">
        <f>ROUND(B95*C95*D95/4096/K95*100,1)/100</f>
        <v/>
      </c>
      <c r="M95" s="117">
        <f>IF(OR(E95="",F95="",G95=""),"",((H95+I95)*1024)/(E95*F95*G95/4096))</f>
        <v/>
      </c>
      <c r="N95" s="117">
        <f>IF(OR(E95="",F95="",G95=""),"",(E95*F95*4)/(E95*F95*G95/4096))</f>
        <v/>
      </c>
      <c r="O95" s="116">
        <f>IF(AND(ISNUMBER(M95),M95&gt;0),MIN(1,128/M95),"")</f>
        <v/>
      </c>
      <c r="P95" s="116">
        <f>IF(AND(ISNUMBER(N95),N95&gt;0),MIN(1,512/N95),"")</f>
        <v/>
      </c>
      <c r="Q95" s="116">
        <f>IF(AND(ISNUMBER(O95),ISNUMBER(P95)),MIN(O95,P95),"")</f>
        <v/>
      </c>
      <c r="R95" s="117">
        <f>IF(AND(ISNUMBER(L95),ISNUMBER(Q95)),(L95-Q95)*100,"")</f>
        <v/>
      </c>
      <c r="S95" s="87" t="inlineStr">
        <is>
          <t>PASS</t>
        </is>
      </c>
      <c r="T95" t="inlineStr">
        <is>
          <t>本轮 model-main 9b3a4405 + 8参数(256KB ShareTReg) 2026-09-22</t>
        </is>
      </c>
    </row>
    <row r="96" ht="20" customHeight="1">
      <c r="A96" s="27" t="inlineStr">
        <is>
          <t>FP16</t>
        </is>
      </c>
      <c r="B96" s="28" t="n">
        <v>128</v>
      </c>
      <c r="C96" s="28" t="n">
        <v>256</v>
      </c>
      <c r="D96" s="28" t="n">
        <v>7168</v>
      </c>
      <c r="E96" s="28" t="n">
        <v>128</v>
      </c>
      <c r="F96" s="28" t="n">
        <v>256</v>
      </c>
      <c r="G96" s="28" t="n">
        <v>256</v>
      </c>
      <c r="H96" s="28" t="n">
        <v>64</v>
      </c>
      <c r="I96" s="28" t="n">
        <v>128</v>
      </c>
      <c r="J96" s="28" t="n">
        <v>192</v>
      </c>
      <c r="K96" s="115" t="n">
        <v>132067</v>
      </c>
      <c r="L96" s="116">
        <f>ROUND(B96*C96*D96/4096/K96*100,1)/100</f>
        <v/>
      </c>
      <c r="M96" s="117">
        <f>IF(OR(E96="",F96="",G96=""),"",((H96+I96)*1024)/(E96*F96*G96/4096))</f>
        <v/>
      </c>
      <c r="N96" s="117">
        <f>IF(OR(E96="",F96="",G96=""),"",(E96*F96*4)/(E96*F96*G96/4096))</f>
        <v/>
      </c>
      <c r="O96" s="116">
        <f>IF(AND(ISNUMBER(M96),M96&gt;0),MIN(1,128/M96),"")</f>
        <v/>
      </c>
      <c r="P96" s="116">
        <f>IF(AND(ISNUMBER(N96),N96&gt;0),MIN(1,512/N96),"")</f>
        <v/>
      </c>
      <c r="Q96" s="116">
        <f>IF(AND(ISNUMBER(O96),ISNUMBER(P96)),MIN(O96,P96),"")</f>
        <v/>
      </c>
      <c r="R96" s="117">
        <f>IF(AND(ISNUMBER(L96),ISNUMBER(Q96)),(L96-Q96)*100,"")</f>
        <v/>
      </c>
      <c r="S96" s="87" t="inlineStr">
        <is>
          <t>PASS</t>
        </is>
      </c>
      <c r="T96" t="inlineStr">
        <is>
          <t>本轮 model-main 9b3a4405 + 8参数(256KB ShareTReg) 2026-09-22</t>
        </is>
      </c>
    </row>
    <row r="97" ht="23" customHeight="1">
      <c r="A97" s="81" t="inlineStr">
        <is>
          <t>FP8</t>
        </is>
      </c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112" t="n"/>
      <c r="L97" s="113" t="n"/>
      <c r="M97" s="114" t="n"/>
      <c r="N97" s="114" t="n"/>
      <c r="O97" s="113" t="n"/>
      <c r="P97" s="113" t="n"/>
      <c r="Q97" s="113" t="n"/>
      <c r="R97" s="114" t="n"/>
      <c r="S97" s="86" t="n"/>
    </row>
    <row r="98" ht="20" customHeight="1">
      <c r="A98" s="33" t="inlineStr">
        <is>
          <t>FP8</t>
        </is>
      </c>
      <c r="B98" s="34" t="n">
        <v>128</v>
      </c>
      <c r="C98" s="34" t="n">
        <v>256</v>
      </c>
      <c r="D98" s="34" t="n">
        <v>7168</v>
      </c>
      <c r="E98" s="34" t="n">
        <v>128</v>
      </c>
      <c r="F98" s="34" t="n">
        <v>64</v>
      </c>
      <c r="G98" s="34" t="n">
        <v>256</v>
      </c>
      <c r="H98" s="34" t="n">
        <v>32</v>
      </c>
      <c r="I98" s="34" t="n">
        <v>16</v>
      </c>
      <c r="J98" s="34" t="n">
        <v>48</v>
      </c>
      <c r="K98" s="119" t="n">
        <v>78644</v>
      </c>
      <c r="L98" s="120">
        <f>ROUND(B98*C98*D98/8192/K98*100,1)/100</f>
        <v/>
      </c>
      <c r="M98" s="121">
        <f>IF(OR(E98="",F98="",G98=""),"",((H98+I98)*1024)/(E98*F98*G98/8192))</f>
        <v/>
      </c>
      <c r="N98" s="121">
        <f>IF(OR(E98="",F98="",G98=""),"",(E98*F98*4)/(E98*F98*G98/8192))</f>
        <v/>
      </c>
      <c r="O98" s="120">
        <f>IF(AND(ISNUMBER(M98),M98&gt;0),MIN(1,128/M98),"")</f>
        <v/>
      </c>
      <c r="P98" s="120">
        <f>IF(AND(ISNUMBER(N98),N98&gt;0),MIN(1,512/N98),"")</f>
        <v/>
      </c>
      <c r="Q98" s="120">
        <f>IF(AND(ISNUMBER(O98),ISNUMBER(P98)),MIN(O98,P98),"")</f>
        <v/>
      </c>
      <c r="R98" s="121">
        <f>IF(AND(ISNUMBER(L98),ISNUMBER(Q98)),(L98-Q98)*100,"")</f>
        <v/>
      </c>
      <c r="S98" s="89" t="inlineStr">
        <is>
          <t>PASS</t>
        </is>
      </c>
      <c r="T98" t="inlineStr">
        <is>
          <t>本轮 model-main 9b3a4405 + 8参数(256KB ShareTReg) 2026-09-22</t>
        </is>
      </c>
    </row>
    <row r="99" ht="20" customHeight="1">
      <c r="A99" s="33" t="inlineStr">
        <is>
          <t>FP8</t>
        </is>
      </c>
      <c r="B99" s="34" t="n">
        <v>128</v>
      </c>
      <c r="C99" s="34" t="n">
        <v>256</v>
      </c>
      <c r="D99" s="34" t="n">
        <v>7168</v>
      </c>
      <c r="E99" s="34" t="n">
        <v>128</v>
      </c>
      <c r="F99" s="34" t="n">
        <v>64</v>
      </c>
      <c r="G99" s="34" t="n">
        <v>512</v>
      </c>
      <c r="H99" s="34" t="n">
        <v>64</v>
      </c>
      <c r="I99" s="34" t="n">
        <v>32</v>
      </c>
      <c r="J99" s="34" t="n">
        <v>96</v>
      </c>
      <c r="K99" s="119" t="n">
        <v>79024</v>
      </c>
      <c r="L99" s="120">
        <f>ROUND(B99*C99*D99/8192/K99*100,1)/100</f>
        <v/>
      </c>
      <c r="M99" s="121">
        <f>IF(OR(E99="",F99="",G99=""),"",((H99+I99)*1024)/(E99*F99*G99/8192))</f>
        <v/>
      </c>
      <c r="N99" s="121">
        <f>IF(OR(E99="",F99="",G99=""),"",(E99*F99*4)/(E99*F99*G99/8192))</f>
        <v/>
      </c>
      <c r="O99" s="120">
        <f>IF(AND(ISNUMBER(M99),M99&gt;0),MIN(1,128/M99),"")</f>
        <v/>
      </c>
      <c r="P99" s="120">
        <f>IF(AND(ISNUMBER(N99),N99&gt;0),MIN(1,512/N99),"")</f>
        <v/>
      </c>
      <c r="Q99" s="120">
        <f>IF(AND(ISNUMBER(O99),ISNUMBER(P99)),MIN(O99,P99),"")</f>
        <v/>
      </c>
      <c r="R99" s="121">
        <f>IF(AND(ISNUMBER(L99),ISNUMBER(Q99)),(L99-Q99)*100,"")</f>
        <v/>
      </c>
      <c r="S99" s="89" t="inlineStr">
        <is>
          <t>PASS</t>
        </is>
      </c>
      <c r="T99" t="inlineStr">
        <is>
          <t>本轮 model-main 9b3a4405 + 8参数(256KB ShareTReg) 2026-09-22</t>
        </is>
      </c>
    </row>
    <row r="100" ht="20" customHeight="1">
      <c r="A100" s="33" t="inlineStr">
        <is>
          <t>FP8</t>
        </is>
      </c>
      <c r="B100" s="34" t="n">
        <v>128</v>
      </c>
      <c r="C100" s="34" t="n">
        <v>256</v>
      </c>
      <c r="D100" s="34" t="n">
        <v>7168</v>
      </c>
      <c r="E100" s="34" t="n">
        <v>128</v>
      </c>
      <c r="F100" s="34" t="n">
        <v>64</v>
      </c>
      <c r="G100" s="34" t="n">
        <v>1024</v>
      </c>
      <c r="H100" s="34" t="n">
        <v>128</v>
      </c>
      <c r="I100" s="34" t="n">
        <v>64</v>
      </c>
      <c r="J100" s="34" t="n">
        <v>192</v>
      </c>
      <c r="K100" s="119" t="n">
        <v>145887</v>
      </c>
      <c r="L100" s="120">
        <f>ROUND(B100*C100*D100/8192/K100*100,1)/100</f>
        <v/>
      </c>
      <c r="M100" s="121">
        <f>IF(OR(E100="",F100="",G100=""),"",((H100+I100)*1024)/(E100*F100*G100/8192))</f>
        <v/>
      </c>
      <c r="N100" s="121">
        <f>IF(OR(E100="",F100="",G100=""),"",(E100*F100*4)/(E100*F100*G100/8192))</f>
        <v/>
      </c>
      <c r="O100" s="120">
        <f>IF(AND(ISNUMBER(M100),M100&gt;0),MIN(1,128/M100),"")</f>
        <v/>
      </c>
      <c r="P100" s="120">
        <f>IF(AND(ISNUMBER(N100),N100&gt;0),MIN(1,512/N100),"")</f>
        <v/>
      </c>
      <c r="Q100" s="120">
        <f>IF(AND(ISNUMBER(O100),ISNUMBER(P100)),MIN(O100,P100),"")</f>
        <v/>
      </c>
      <c r="R100" s="121">
        <f>IF(AND(ISNUMBER(L100),ISNUMBER(Q100)),(L100-Q100)*100,"")</f>
        <v/>
      </c>
      <c r="S100" s="89" t="inlineStr">
        <is>
          <t>PASS</t>
        </is>
      </c>
      <c r="T100" t="inlineStr">
        <is>
          <t>本轮 model-main 9b3a4405 + 8参数(256KB ShareTReg) 2026-09-22</t>
        </is>
      </c>
    </row>
    <row r="101" ht="20" customHeight="1">
      <c r="A101" s="33" t="inlineStr">
        <is>
          <t>FP8</t>
        </is>
      </c>
      <c r="B101" s="34" t="n">
        <v>128</v>
      </c>
      <c r="C101" s="34" t="n">
        <v>256</v>
      </c>
      <c r="D101" s="34" t="n">
        <v>7168</v>
      </c>
      <c r="E101" s="34" t="n">
        <v>128</v>
      </c>
      <c r="F101" s="34" t="n">
        <v>128</v>
      </c>
      <c r="G101" s="34" t="n">
        <v>256</v>
      </c>
      <c r="H101" s="34" t="n">
        <v>32</v>
      </c>
      <c r="I101" s="34" t="n">
        <v>32</v>
      </c>
      <c r="J101" s="34" t="n">
        <v>64</v>
      </c>
      <c r="K101" s="119" t="n">
        <v>53239</v>
      </c>
      <c r="L101" s="120">
        <f>ROUND(B101*C101*D101/8192/K101*100,1)/100</f>
        <v/>
      </c>
      <c r="M101" s="121">
        <f>IF(OR(E101="",F101="",G101=""),"",((H101+I101)*1024)/(E101*F101*G101/8192))</f>
        <v/>
      </c>
      <c r="N101" s="121">
        <f>IF(OR(E101="",F101="",G101=""),"",(E101*F101*4)/(E101*F101*G101/8192))</f>
        <v/>
      </c>
      <c r="O101" s="120">
        <f>IF(AND(ISNUMBER(M101),M101&gt;0),MIN(1,128/M101),"")</f>
        <v/>
      </c>
      <c r="P101" s="120">
        <f>IF(AND(ISNUMBER(N101),N101&gt;0),MIN(1,512/N101),"")</f>
        <v/>
      </c>
      <c r="Q101" s="120">
        <f>IF(AND(ISNUMBER(O101),ISNUMBER(P101)),MIN(O101,P101),"")</f>
        <v/>
      </c>
      <c r="R101" s="121">
        <f>IF(AND(ISNUMBER(L101),ISNUMBER(Q101)),(L101-Q101)*100,"")</f>
        <v/>
      </c>
      <c r="S101" s="89" t="inlineStr">
        <is>
          <t>PASS</t>
        </is>
      </c>
      <c r="T101" t="inlineStr">
        <is>
          <t>本轮 model-main 9b3a4405 + 8参数(256KB ShareTReg) 2026-09-22</t>
        </is>
      </c>
    </row>
    <row r="102" ht="20" customHeight="1">
      <c r="A102" s="33" t="inlineStr">
        <is>
          <t>FP8</t>
        </is>
      </c>
      <c r="B102" s="34" t="n">
        <v>128</v>
      </c>
      <c r="C102" s="34" t="n">
        <v>256</v>
      </c>
      <c r="D102" s="34" t="n">
        <v>7168</v>
      </c>
      <c r="E102" s="34" t="n">
        <v>128</v>
      </c>
      <c r="F102" s="34" t="n">
        <v>128</v>
      </c>
      <c r="G102" s="34" t="n">
        <v>512</v>
      </c>
      <c r="H102" s="34" t="n">
        <v>64</v>
      </c>
      <c r="I102" s="34" t="n">
        <v>64</v>
      </c>
      <c r="J102" s="34" t="n">
        <v>128</v>
      </c>
      <c r="K102" s="119" t="n">
        <v>54542</v>
      </c>
      <c r="L102" s="120">
        <f>ROUND(B102*C102*D102/8192/K102*100,1)/100</f>
        <v/>
      </c>
      <c r="M102" s="121">
        <f>IF(OR(E102="",F102="",G102=""),"",((H102+I102)*1024)/(E102*F102*G102/8192))</f>
        <v/>
      </c>
      <c r="N102" s="121">
        <f>IF(OR(E102="",F102="",G102=""),"",(E102*F102*4)/(E102*F102*G102/8192))</f>
        <v/>
      </c>
      <c r="O102" s="120">
        <f>IF(AND(ISNUMBER(M102),M102&gt;0),MIN(1,128/M102),"")</f>
        <v/>
      </c>
      <c r="P102" s="120">
        <f>IF(AND(ISNUMBER(N102),N102&gt;0),MIN(1,512/N102),"")</f>
        <v/>
      </c>
      <c r="Q102" s="120">
        <f>IF(AND(ISNUMBER(O102),ISNUMBER(P102)),MIN(O102,P102),"")</f>
        <v/>
      </c>
      <c r="R102" s="121">
        <f>IF(AND(ISNUMBER(L102),ISNUMBER(Q102)),(L102-Q102)*100,"")</f>
        <v/>
      </c>
      <c r="S102" s="89" t="inlineStr">
        <is>
          <t>PASS</t>
        </is>
      </c>
      <c r="T102" t="inlineStr">
        <is>
          <t>本轮 model-main 9b3a4405 + 8参数(256KB ShareTReg) 2026-09-22</t>
        </is>
      </c>
    </row>
    <row r="103" ht="20" customHeight="1">
      <c r="A103" s="33" t="inlineStr">
        <is>
          <t>FP8</t>
        </is>
      </c>
      <c r="B103" s="34" t="n">
        <v>128</v>
      </c>
      <c r="C103" s="34" t="n">
        <v>256</v>
      </c>
      <c r="D103" s="34" t="n">
        <v>7168</v>
      </c>
      <c r="E103" s="34" t="n">
        <v>128</v>
      </c>
      <c r="F103" s="34" t="n">
        <v>128</v>
      </c>
      <c r="G103" s="34" t="n">
        <v>1024</v>
      </c>
      <c r="H103" s="34" t="n">
        <v>128</v>
      </c>
      <c r="I103" s="34" t="n">
        <v>128</v>
      </c>
      <c r="J103" s="34" t="n">
        <v>256</v>
      </c>
      <c r="K103" s="119" t="n">
        <v>100767</v>
      </c>
      <c r="L103" s="120">
        <f>ROUND(B103*C103*D103/8192/K103*100,1)/100</f>
        <v/>
      </c>
      <c r="M103" s="121">
        <f>IF(OR(E103="",F103="",G103=""),"",((H103+I103)*1024)/(E103*F103*G103/8192))</f>
        <v/>
      </c>
      <c r="N103" s="121">
        <f>IF(OR(E103="",F103="",G103=""),"",(E103*F103*4)/(E103*F103*G103/8192))</f>
        <v/>
      </c>
      <c r="O103" s="120">
        <f>IF(AND(ISNUMBER(M103),M103&gt;0),MIN(1,128/M103),"")</f>
        <v/>
      </c>
      <c r="P103" s="120">
        <f>IF(AND(ISNUMBER(N103),N103&gt;0),MIN(1,512/N103),"")</f>
        <v/>
      </c>
      <c r="Q103" s="120">
        <f>IF(AND(ISNUMBER(O103),ISNUMBER(P103)),MIN(O103,P103),"")</f>
        <v/>
      </c>
      <c r="R103" s="121">
        <f>IF(AND(ISNUMBER(L103),ISNUMBER(Q103)),(L103-Q103)*100,"")</f>
        <v/>
      </c>
      <c r="S103" s="89" t="inlineStr">
        <is>
          <t>PASS</t>
        </is>
      </c>
      <c r="T103" t="inlineStr">
        <is>
          <t>本轮 model-main 9b3a4405 + 8参数(256KB ShareTReg) 2026-09-22</t>
        </is>
      </c>
    </row>
    <row r="104" ht="20" customHeight="1">
      <c r="A104" s="33" t="inlineStr">
        <is>
          <t>FP8</t>
        </is>
      </c>
      <c r="B104" s="34" t="n">
        <v>128</v>
      </c>
      <c r="C104" s="34" t="n">
        <v>256</v>
      </c>
      <c r="D104" s="34" t="n">
        <v>7168</v>
      </c>
      <c r="E104" s="102" t="n">
        <v>128</v>
      </c>
      <c r="F104" s="102" t="n">
        <v>256</v>
      </c>
      <c r="G104" s="102" t="n">
        <v>256</v>
      </c>
      <c r="H104" s="34" t="n">
        <v>32</v>
      </c>
      <c r="I104" s="34" t="n">
        <v>64</v>
      </c>
      <c r="J104" s="34" t="n">
        <v>96</v>
      </c>
      <c r="K104" s="119" t="n">
        <v>41093</v>
      </c>
      <c r="L104" s="118">
        <f>ROUND(B104*C104*D104/8192/K104*100,1)/100</f>
        <v/>
      </c>
      <c r="M104" s="121">
        <f>IF(OR(E104="",F104="",G104=""),"",((H104+I104)*1024)/(E104*F104*G104/8192))</f>
        <v/>
      </c>
      <c r="N104" s="121">
        <f>IF(OR(E104="",F104="",G104=""),"",(E104*F104*4)/(E104*F104*G104/8192))</f>
        <v/>
      </c>
      <c r="O104" s="120">
        <f>IF(AND(ISNUMBER(M104),M104&gt;0),MIN(1,128/M104),"")</f>
        <v/>
      </c>
      <c r="P104" s="120">
        <f>IF(AND(ISNUMBER(N104),N104&gt;0),MIN(1,512/N104),"")</f>
        <v/>
      </c>
      <c r="Q104" s="120">
        <f>IF(AND(ISNUMBER(O104),ISNUMBER(P104)),MIN(O104,P104),"")</f>
        <v/>
      </c>
      <c r="R104" s="121">
        <f>IF(AND(ISNUMBER(L104),ISNUMBER(Q104)),(L104-Q104)*100,"")</f>
        <v/>
      </c>
      <c r="S104" s="89" t="inlineStr">
        <is>
          <t>PASS</t>
        </is>
      </c>
      <c r="T104" t="inlineStr">
        <is>
          <t>本轮 model-main 9b3a4405 + 8参数(256KB ShareTReg) 2026-09-22</t>
        </is>
      </c>
    </row>
    <row r="105" ht="20" customHeight="1">
      <c r="A105" s="33" t="inlineStr">
        <is>
          <t>FP8</t>
        </is>
      </c>
      <c r="B105" s="34" t="n">
        <v>128</v>
      </c>
      <c r="C105" s="34" t="n">
        <v>256</v>
      </c>
      <c r="D105" s="34" t="n">
        <v>7168</v>
      </c>
      <c r="E105" s="34" t="n">
        <v>128</v>
      </c>
      <c r="F105" s="34" t="n">
        <v>256</v>
      </c>
      <c r="G105" s="34" t="n">
        <v>512</v>
      </c>
      <c r="H105" s="34" t="n">
        <v>64</v>
      </c>
      <c r="I105" s="34" t="n">
        <v>128</v>
      </c>
      <c r="J105" s="34" t="n">
        <v>192</v>
      </c>
      <c r="K105" s="119" t="n">
        <v>67269</v>
      </c>
      <c r="L105" s="120">
        <f>ROUND(B105*C105*D105/8192/K105*100,1)/100</f>
        <v/>
      </c>
      <c r="M105" s="121">
        <f>IF(OR(E105="",F105="",G105=""),"",((H105+I105)*1024)/(E105*F105*G105/8192))</f>
        <v/>
      </c>
      <c r="N105" s="121">
        <f>IF(OR(E105="",F105="",G105=""),"",(E105*F105*4)/(E105*F105*G105/8192))</f>
        <v/>
      </c>
      <c r="O105" s="120">
        <f>IF(AND(ISNUMBER(M105),M105&gt;0),MIN(1,128/M105),"")</f>
        <v/>
      </c>
      <c r="P105" s="120">
        <f>IF(AND(ISNUMBER(N105),N105&gt;0),MIN(1,512/N105),"")</f>
        <v/>
      </c>
      <c r="Q105" s="120">
        <f>IF(AND(ISNUMBER(O105),ISNUMBER(P105)),MIN(O105,P105),"")</f>
        <v/>
      </c>
      <c r="R105" s="121">
        <f>IF(AND(ISNUMBER(L105),ISNUMBER(Q105)),(L105-Q105)*100,"")</f>
        <v/>
      </c>
      <c r="S105" s="89" t="inlineStr">
        <is>
          <t>PASS</t>
        </is>
      </c>
      <c r="T105" t="inlineStr">
        <is>
          <t>本轮 model-main 9b3a4405 + 8参数(256KB ShareTReg) 2026-09-22</t>
        </is>
      </c>
    </row>
    <row r="106" ht="20" customHeight="1">
      <c r="A106" s="33" t="inlineStr">
        <is>
          <t>FP8</t>
        </is>
      </c>
      <c r="B106" s="34" t="n">
        <v>128</v>
      </c>
      <c r="C106" s="34" t="n">
        <v>256</v>
      </c>
      <c r="D106" s="34" t="n">
        <v>7168</v>
      </c>
      <c r="E106" s="34" t="n">
        <v>128</v>
      </c>
      <c r="F106" s="34" t="n">
        <v>256</v>
      </c>
      <c r="G106" s="34" t="n">
        <v>1024</v>
      </c>
      <c r="H106" s="34" t="n">
        <v>128</v>
      </c>
      <c r="I106" s="34" t="n">
        <v>256</v>
      </c>
      <c r="J106" s="34" t="n">
        <v>384</v>
      </c>
      <c r="K106" s="119" t="inlineStr">
        <is>
          <t>—</t>
        </is>
      </c>
      <c r="L106" s="120" t="n"/>
      <c r="M106" s="121">
        <f>IF(OR(E106="",F106="",G106=""),"",((H106+I106)*1024)/(E106*F106*G106/8192))</f>
        <v/>
      </c>
      <c r="N106" s="121">
        <f>IF(OR(E106="",F106="",G106=""),"",(E106*F106*4)/(E106*F106*G106/8192))</f>
        <v/>
      </c>
      <c r="O106" s="120">
        <f>IF(AND(ISNUMBER(M106),M106&gt;0),MIN(1,128/M106),"")</f>
        <v/>
      </c>
      <c r="P106" s="120">
        <f>IF(AND(ISNUMBER(N106),N106&gt;0),MIN(1,512/N106),"")</f>
        <v/>
      </c>
      <c r="Q106" s="120">
        <f>IF(AND(ISNUMBER(O106),ISNUMBER(P106)),MIN(O106,P106),"")</f>
        <v/>
      </c>
      <c r="R106" s="121" t="n"/>
      <c r="S106" s="95" t="inlineStr">
        <is>
          <t>COMPILE_FAIL</t>
        </is>
      </c>
      <c r="T106" t="inlineStr">
        <is>
          <t>容量超限：完整 SharedTile 足迹 &gt; 256 KiB；本轮 model-main 9b3a4405 + 8参数(256KB ShareTReg) 2026-09-22</t>
        </is>
      </c>
    </row>
    <row r="107" ht="23" customHeight="1">
      <c r="A107" s="81" t="inlineStr">
        <is>
          <t>MXFP8</t>
        </is>
      </c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112" t="n"/>
      <c r="L107" s="113" t="n"/>
      <c r="M107" s="114" t="n"/>
      <c r="N107" s="114" t="n"/>
      <c r="O107" s="113" t="n"/>
      <c r="P107" s="113" t="n"/>
      <c r="Q107" s="113" t="n"/>
      <c r="R107" s="114" t="n"/>
      <c r="S107" s="86" t="n"/>
    </row>
    <row r="108" ht="20" customHeight="1">
      <c r="A108" s="39" t="inlineStr">
        <is>
          <t>MXFP8</t>
        </is>
      </c>
      <c r="B108" s="40" t="n">
        <v>128</v>
      </c>
      <c r="C108" s="40" t="n">
        <v>256</v>
      </c>
      <c r="D108" s="40" t="n">
        <v>7168</v>
      </c>
      <c r="E108" s="40" t="n">
        <v>128</v>
      </c>
      <c r="F108" s="40" t="n">
        <v>64</v>
      </c>
      <c r="G108" s="40" t="n">
        <v>256</v>
      </c>
      <c r="H108" s="40" t="n">
        <v>36</v>
      </c>
      <c r="I108" s="40" t="n">
        <v>18</v>
      </c>
      <c r="J108" s="40" t="n">
        <v>54</v>
      </c>
      <c r="K108" s="122" t="n">
        <v>92529</v>
      </c>
      <c r="L108" s="123">
        <f>ROUND(B108*C108*D108/8192/K108*100,1)/100</f>
        <v/>
      </c>
      <c r="M108" s="124">
        <f>IF(OR(E108="",F108="",G108=""),"",((H108+I108)*1024)/(E108*F108*G108/8192))</f>
        <v/>
      </c>
      <c r="N108" s="124">
        <f>IF(OR(E108="",F108="",G108=""),"",(E108*F108*4)/(E108*F108*G108/8192))</f>
        <v/>
      </c>
      <c r="O108" s="123">
        <f>IF(AND(ISNUMBER(M108),M108&gt;0),MIN(1,128/M108),"")</f>
        <v/>
      </c>
      <c r="P108" s="123">
        <f>IF(AND(ISNUMBER(N108),N108&gt;0),MIN(1,512/N108),"")</f>
        <v/>
      </c>
      <c r="Q108" s="123">
        <f>IF(AND(ISNUMBER(O108),ISNUMBER(P108)),MIN(O108,P108),"")</f>
        <v/>
      </c>
      <c r="R108" s="124">
        <f>IF(AND(ISNUMBER(L108),ISNUMBER(Q108)),(L108-Q108)*100,"")</f>
        <v/>
      </c>
      <c r="S108" s="91" t="inlineStr">
        <is>
          <t>PASS</t>
        </is>
      </c>
      <c r="T108" t="inlineStr">
        <is>
          <t>本轮 model-main 9b3a4405 + 8参数(256KB ShareTReg) 2026-09-22</t>
        </is>
      </c>
    </row>
    <row r="109" ht="20" customHeight="1">
      <c r="A109" s="39" t="inlineStr">
        <is>
          <t>MXFP8</t>
        </is>
      </c>
      <c r="B109" s="40" t="n">
        <v>128</v>
      </c>
      <c r="C109" s="40" t="n">
        <v>256</v>
      </c>
      <c r="D109" s="40" t="n">
        <v>7168</v>
      </c>
      <c r="E109" s="40" t="n">
        <v>128</v>
      </c>
      <c r="F109" s="40" t="n">
        <v>64</v>
      </c>
      <c r="G109" s="40" t="n">
        <v>512</v>
      </c>
      <c r="H109" s="40" t="n">
        <v>68</v>
      </c>
      <c r="I109" s="40" t="n">
        <v>34</v>
      </c>
      <c r="J109" s="40" t="n">
        <v>102</v>
      </c>
      <c r="K109" s="122" t="n">
        <v>90753</v>
      </c>
      <c r="L109" s="123">
        <f>ROUND(B109*C109*D109/8192/K109*100,1)/100</f>
        <v/>
      </c>
      <c r="M109" s="124">
        <f>IF(OR(E109="",F109="",G109=""),"",((H109+I109)*1024)/(E109*F109*G109/8192))</f>
        <v/>
      </c>
      <c r="N109" s="124">
        <f>IF(OR(E109="",F109="",G109=""),"",(E109*F109*4)/(E109*F109*G109/8192))</f>
        <v/>
      </c>
      <c r="O109" s="123">
        <f>IF(AND(ISNUMBER(M109),M109&gt;0),MIN(1,128/M109),"")</f>
        <v/>
      </c>
      <c r="P109" s="123">
        <f>IF(AND(ISNUMBER(N109),N109&gt;0),MIN(1,512/N109),"")</f>
        <v/>
      </c>
      <c r="Q109" s="123">
        <f>IF(AND(ISNUMBER(O109),ISNUMBER(P109)),MIN(O109,P109),"")</f>
        <v/>
      </c>
      <c r="R109" s="124">
        <f>IF(AND(ISNUMBER(L109),ISNUMBER(Q109)),(L109-Q109)*100,"")</f>
        <v/>
      </c>
      <c r="S109" s="91" t="inlineStr">
        <is>
          <t>PASS</t>
        </is>
      </c>
      <c r="T109" t="inlineStr">
        <is>
          <t>本轮 model-main 9b3a4405 + 8参数(256KB ShareTReg) 2026-09-22</t>
        </is>
      </c>
    </row>
    <row r="110" ht="20" customHeight="1">
      <c r="A110" s="39" t="inlineStr">
        <is>
          <t>MXFP8</t>
        </is>
      </c>
      <c r="B110" s="40" t="n">
        <v>128</v>
      </c>
      <c r="C110" s="40" t="n">
        <v>256</v>
      </c>
      <c r="D110" s="40" t="n">
        <v>7168</v>
      </c>
      <c r="E110" s="40" t="n">
        <v>128</v>
      </c>
      <c r="F110" s="40" t="n">
        <v>64</v>
      </c>
      <c r="G110" s="40" t="n">
        <v>1024</v>
      </c>
      <c r="H110" s="40" t="n">
        <v>132</v>
      </c>
      <c r="I110" s="40" t="n">
        <v>66</v>
      </c>
      <c r="J110" s="40" t="n">
        <v>198</v>
      </c>
      <c r="K110" s="122" t="n">
        <v>163583</v>
      </c>
      <c r="L110" s="123">
        <f>ROUND(B110*C110*D110/8192/K110*100,1)/100</f>
        <v/>
      </c>
      <c r="M110" s="124">
        <f>IF(OR(E110="",F110="",G110=""),"",((H110+I110)*1024)/(E110*F110*G110/8192))</f>
        <v/>
      </c>
      <c r="N110" s="124">
        <f>IF(OR(E110="",F110="",G110=""),"",(E110*F110*4)/(E110*F110*G110/8192))</f>
        <v/>
      </c>
      <c r="O110" s="123">
        <f>IF(AND(ISNUMBER(M110),M110&gt;0),MIN(1,128/M110),"")</f>
        <v/>
      </c>
      <c r="P110" s="123">
        <f>IF(AND(ISNUMBER(N110),N110&gt;0),MIN(1,512/N110),"")</f>
        <v/>
      </c>
      <c r="Q110" s="123">
        <f>IF(AND(ISNUMBER(O110),ISNUMBER(P110)),MIN(O110,P110),"")</f>
        <v/>
      </c>
      <c r="R110" s="124">
        <f>IF(AND(ISNUMBER(L110),ISNUMBER(Q110)),(L110-Q110)*100,"")</f>
        <v/>
      </c>
      <c r="S110" s="91" t="inlineStr">
        <is>
          <t>PASS</t>
        </is>
      </c>
      <c r="T110" t="inlineStr">
        <is>
          <t>本轮 model-main 9b3a4405 + 8参数(256KB ShareTReg) 2026-09-22</t>
        </is>
      </c>
    </row>
    <row r="111" ht="20" customHeight="1">
      <c r="A111" s="39" t="inlineStr">
        <is>
          <t>MXFP8</t>
        </is>
      </c>
      <c r="B111" s="40" t="n">
        <v>128</v>
      </c>
      <c r="C111" s="40" t="n">
        <v>256</v>
      </c>
      <c r="D111" s="40" t="n">
        <v>7168</v>
      </c>
      <c r="E111" s="40" t="n">
        <v>128</v>
      </c>
      <c r="F111" s="40" t="n">
        <v>128</v>
      </c>
      <c r="G111" s="40" t="n">
        <v>256</v>
      </c>
      <c r="H111" s="40" t="n">
        <v>36</v>
      </c>
      <c r="I111" s="40" t="n">
        <v>36</v>
      </c>
      <c r="J111" s="40" t="n">
        <v>72</v>
      </c>
      <c r="K111" s="122" t="n">
        <v>64788</v>
      </c>
      <c r="L111" s="123">
        <f>ROUND(B111*C111*D111/8192/K111*100,1)/100</f>
        <v/>
      </c>
      <c r="M111" s="124">
        <f>IF(OR(E111="",F111="",G111=""),"",((H111+I111)*1024)/(E111*F111*G111/8192))</f>
        <v/>
      </c>
      <c r="N111" s="124">
        <f>IF(OR(E111="",F111="",G111=""),"",(E111*F111*4)/(E111*F111*G111/8192))</f>
        <v/>
      </c>
      <c r="O111" s="123">
        <f>IF(AND(ISNUMBER(M111),M111&gt;0),MIN(1,128/M111),"")</f>
        <v/>
      </c>
      <c r="P111" s="123">
        <f>IF(AND(ISNUMBER(N111),N111&gt;0),MIN(1,512/N111),"")</f>
        <v/>
      </c>
      <c r="Q111" s="123">
        <f>IF(AND(ISNUMBER(O111),ISNUMBER(P111)),MIN(O111,P111),"")</f>
        <v/>
      </c>
      <c r="R111" s="124">
        <f>IF(AND(ISNUMBER(L111),ISNUMBER(Q111)),(L111-Q111)*100,"")</f>
        <v/>
      </c>
      <c r="S111" s="91" t="inlineStr">
        <is>
          <t>PASS</t>
        </is>
      </c>
      <c r="T111" t="inlineStr">
        <is>
          <t>本轮 model-main 9b3a4405 + 8参数(256KB ShareTReg) 2026-09-22</t>
        </is>
      </c>
    </row>
    <row r="112" ht="20" customHeight="1">
      <c r="A112" s="39" t="inlineStr">
        <is>
          <t>MXFP8</t>
        </is>
      </c>
      <c r="B112" s="40" t="n">
        <v>128</v>
      </c>
      <c r="C112" s="40" t="n">
        <v>256</v>
      </c>
      <c r="D112" s="40" t="n">
        <v>7168</v>
      </c>
      <c r="E112" s="40" t="n">
        <v>128</v>
      </c>
      <c r="F112" s="40" t="n">
        <v>128</v>
      </c>
      <c r="G112" s="40" t="n">
        <v>512</v>
      </c>
      <c r="H112" s="40" t="n">
        <v>68</v>
      </c>
      <c r="I112" s="40" t="n">
        <v>68</v>
      </c>
      <c r="J112" s="40" t="n">
        <v>136</v>
      </c>
      <c r="K112" s="122" t="n">
        <v>89586</v>
      </c>
      <c r="L112" s="123">
        <f>ROUND(B112*C112*D112/8192/K112*100,1)/100</f>
        <v/>
      </c>
      <c r="M112" s="124">
        <f>IF(OR(E112="",F112="",G112=""),"",((H112+I112)*1024)/(E112*F112*G112/8192))</f>
        <v/>
      </c>
      <c r="N112" s="124">
        <f>IF(OR(E112="",F112="",G112=""),"",(E112*F112*4)/(E112*F112*G112/8192))</f>
        <v/>
      </c>
      <c r="O112" s="123">
        <f>IF(AND(ISNUMBER(M112),M112&gt;0),MIN(1,128/M112),"")</f>
        <v/>
      </c>
      <c r="P112" s="123">
        <f>IF(AND(ISNUMBER(N112),N112&gt;0),MIN(1,512/N112),"")</f>
        <v/>
      </c>
      <c r="Q112" s="123">
        <f>IF(AND(ISNUMBER(O112),ISNUMBER(P112)),MIN(O112,P112),"")</f>
        <v/>
      </c>
      <c r="R112" s="124">
        <f>IF(AND(ISNUMBER(L112),ISNUMBER(Q112)),(L112-Q112)*100,"")</f>
        <v/>
      </c>
      <c r="S112" s="91" t="inlineStr">
        <is>
          <t>PASS</t>
        </is>
      </c>
      <c r="T112" t="inlineStr">
        <is>
          <t>本轮 model-main 9b3a4405 + 8参数(256KB ShareTReg) 2026-09-22</t>
        </is>
      </c>
    </row>
    <row r="113" ht="20" customHeight="1">
      <c r="A113" s="39" t="inlineStr">
        <is>
          <t>MXFP8</t>
        </is>
      </c>
      <c r="B113" s="40" t="n">
        <v>128</v>
      </c>
      <c r="C113" s="40" t="n">
        <v>256</v>
      </c>
      <c r="D113" s="40" t="n">
        <v>7168</v>
      </c>
      <c r="E113" s="40" t="n">
        <v>128</v>
      </c>
      <c r="F113" s="40" t="n">
        <v>128</v>
      </c>
      <c r="G113" s="40" t="n">
        <v>1024</v>
      </c>
      <c r="H113" s="40" t="n">
        <v>132</v>
      </c>
      <c r="I113" s="40" t="n">
        <v>132</v>
      </c>
      <c r="J113" s="40" t="n">
        <v>264</v>
      </c>
      <c r="K113" s="122" t="inlineStr">
        <is>
          <t>—</t>
        </is>
      </c>
      <c r="L113" s="123" t="n"/>
      <c r="M113" s="124">
        <f>IF(OR(E113="",F113="",G113=""),"",((H113+I113)*1024)/(E113*F113*G113/8192))</f>
        <v/>
      </c>
      <c r="N113" s="124">
        <f>IF(OR(E113="",F113="",G113=""),"",(E113*F113*4)/(E113*F113*G113/8192))</f>
        <v/>
      </c>
      <c r="O113" s="123">
        <f>IF(AND(ISNUMBER(M113),M113&gt;0),MIN(1,128/M113),"")</f>
        <v/>
      </c>
      <c r="P113" s="123">
        <f>IF(AND(ISNUMBER(N113),N113&gt;0),MIN(1,512/N113),"")</f>
        <v/>
      </c>
      <c r="Q113" s="123">
        <f>IF(AND(ISNUMBER(O113),ISNUMBER(P113)),MIN(O113,P113),"")</f>
        <v/>
      </c>
      <c r="R113" s="124" t="n"/>
      <c r="S113" s="96" t="inlineStr">
        <is>
          <t>COMPILE_FAIL</t>
        </is>
      </c>
      <c r="T113" t="inlineStr">
        <is>
          <t>容量超限：完整 SharedTile 足迹 &gt; 256 KiB；本轮 model-main 9b3a4405 + 8参数(256KB ShareTReg) 2026-09-22</t>
        </is>
      </c>
    </row>
    <row r="114" ht="20" customHeight="1">
      <c r="A114" s="39" t="inlineStr">
        <is>
          <t>MXFP8</t>
        </is>
      </c>
      <c r="B114" s="40" t="n">
        <v>128</v>
      </c>
      <c r="C114" s="40" t="n">
        <v>256</v>
      </c>
      <c r="D114" s="40" t="n">
        <v>7168</v>
      </c>
      <c r="E114" s="40" t="n">
        <v>128</v>
      </c>
      <c r="F114" s="40" t="n">
        <v>256</v>
      </c>
      <c r="G114" s="40" t="n">
        <v>256</v>
      </c>
      <c r="H114" s="40" t="n">
        <v>36</v>
      </c>
      <c r="I114" s="40" t="n">
        <v>72</v>
      </c>
      <c r="J114" s="40" t="n">
        <v>108</v>
      </c>
      <c r="K114" s="122" t="n">
        <v>60085</v>
      </c>
      <c r="L114" s="123">
        <f>ROUND(B114*C114*D114/8192/K114*100,1)/100</f>
        <v/>
      </c>
      <c r="M114" s="124">
        <f>IF(OR(E114="",F114="",G114=""),"",((H114+I114)*1024)/(E114*F114*G114/8192))</f>
        <v/>
      </c>
      <c r="N114" s="124">
        <f>IF(OR(E114="",F114="",G114=""),"",(E114*F114*4)/(E114*F114*G114/8192))</f>
        <v/>
      </c>
      <c r="O114" s="123">
        <f>IF(AND(ISNUMBER(M114),M114&gt;0),MIN(1,128/M114),"")</f>
        <v/>
      </c>
      <c r="P114" s="123">
        <f>IF(AND(ISNUMBER(N114),N114&gt;0),MIN(1,512/N114),"")</f>
        <v/>
      </c>
      <c r="Q114" s="123">
        <f>IF(AND(ISNUMBER(O114),ISNUMBER(P114)),MIN(O114,P114),"")</f>
        <v/>
      </c>
      <c r="R114" s="124">
        <f>IF(AND(ISNUMBER(L114),ISNUMBER(Q114)),(L114-Q114)*100,"")</f>
        <v/>
      </c>
      <c r="S114" s="91" t="inlineStr">
        <is>
          <t>PASS</t>
        </is>
      </c>
      <c r="T114" t="inlineStr">
        <is>
          <t>本轮 model-main 9b3a4405 + 8参数(256KB ShareTReg) 2026-09-22</t>
        </is>
      </c>
    </row>
    <row r="115" ht="20" customHeight="1">
      <c r="A115" s="39" t="inlineStr">
        <is>
          <t>MXFP8</t>
        </is>
      </c>
      <c r="B115" s="40" t="n">
        <v>128</v>
      </c>
      <c r="C115" s="40" t="n">
        <v>256</v>
      </c>
      <c r="D115" s="40" t="n">
        <v>7168</v>
      </c>
      <c r="E115" s="103" t="n">
        <v>128</v>
      </c>
      <c r="F115" s="103" t="n">
        <v>256</v>
      </c>
      <c r="G115" s="103" t="n">
        <v>512</v>
      </c>
      <c r="H115" s="40" t="n">
        <v>68</v>
      </c>
      <c r="I115" s="40" t="n">
        <v>136</v>
      </c>
      <c r="J115" s="40" t="n">
        <v>204</v>
      </c>
      <c r="K115" s="122" t="n">
        <v>89829</v>
      </c>
      <c r="L115" s="118">
        <f>ROUND(B115*C115*D115/8192/K115*100,1)/100</f>
        <v/>
      </c>
      <c r="M115" s="124">
        <f>IF(OR(E115="",F115="",G115=""),"",((H115+I115)*1024)/(E115*F115*G115/8192))</f>
        <v/>
      </c>
      <c r="N115" s="124">
        <f>IF(OR(E115="",F115="",G115=""),"",(E115*F115*4)/(E115*F115*G115/8192))</f>
        <v/>
      </c>
      <c r="O115" s="123">
        <f>IF(AND(ISNUMBER(M115),M115&gt;0),MIN(1,128/M115),"")</f>
        <v/>
      </c>
      <c r="P115" s="123">
        <f>IF(AND(ISNUMBER(N115),N115&gt;0),MIN(1,512/N115),"")</f>
        <v/>
      </c>
      <c r="Q115" s="123">
        <f>IF(AND(ISNUMBER(O115),ISNUMBER(P115)),MIN(O115,P115),"")</f>
        <v/>
      </c>
      <c r="R115" s="124">
        <f>IF(AND(ISNUMBER(L115),ISNUMBER(Q115)),(L115-Q115)*100,"")</f>
        <v/>
      </c>
      <c r="S115" s="91" t="inlineStr">
        <is>
          <t>PASS</t>
        </is>
      </c>
      <c r="T115" t="inlineStr">
        <is>
          <t>本轮 model-main 9b3a4405 + 8参数(256KB ShareTReg) 2026-09-22</t>
        </is>
      </c>
    </row>
    <row r="116" ht="20" customHeight="1">
      <c r="A116" s="39" t="inlineStr">
        <is>
          <t>MXFP8</t>
        </is>
      </c>
      <c r="B116" s="40" t="n">
        <v>128</v>
      </c>
      <c r="C116" s="40" t="n">
        <v>256</v>
      </c>
      <c r="D116" s="40" t="n">
        <v>7168</v>
      </c>
      <c r="E116" s="40" t="n">
        <v>128</v>
      </c>
      <c r="F116" s="40" t="n">
        <v>256</v>
      </c>
      <c r="G116" s="40" t="n">
        <v>1024</v>
      </c>
      <c r="H116" s="40" t="n">
        <v>132</v>
      </c>
      <c r="I116" s="40" t="n">
        <v>264</v>
      </c>
      <c r="J116" s="40" t="n">
        <v>396</v>
      </c>
      <c r="K116" s="122" t="inlineStr">
        <is>
          <t>—</t>
        </is>
      </c>
      <c r="L116" s="123" t="n"/>
      <c r="M116" s="124">
        <f>IF(OR(E116="",F116="",G116=""),"",((H116+I116)*1024)/(E116*F116*G116/8192))</f>
        <v/>
      </c>
      <c r="N116" s="124">
        <f>IF(OR(E116="",F116="",G116=""),"",(E116*F116*4)/(E116*F116*G116/8192))</f>
        <v/>
      </c>
      <c r="O116" s="123">
        <f>IF(AND(ISNUMBER(M116),M116&gt;0),MIN(1,128/M116),"")</f>
        <v/>
      </c>
      <c r="P116" s="123">
        <f>IF(AND(ISNUMBER(N116),N116&gt;0),MIN(1,512/N116),"")</f>
        <v/>
      </c>
      <c r="Q116" s="123">
        <f>IF(AND(ISNUMBER(O116),ISNUMBER(P116)),MIN(O116,P116),"")</f>
        <v/>
      </c>
      <c r="R116" s="124" t="n"/>
      <c r="S116" s="96" t="inlineStr">
        <is>
          <t>COMPILE_FAIL</t>
        </is>
      </c>
      <c r="T116" t="inlineStr">
        <is>
          <t>容量超限：完整 SharedTile 足迹 &gt; 256 KiB；本轮 model-main 9b3a4405 + 8参数(256KB ShareTReg) 2026-09-22</t>
        </is>
      </c>
    </row>
    <row r="117" ht="23" customHeight="1">
      <c r="A117" s="81" t="inlineStr">
        <is>
          <t>MXFP4</t>
        </is>
      </c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112" t="n"/>
      <c r="L117" s="113" t="n"/>
      <c r="M117" s="114" t="n"/>
      <c r="N117" s="114" t="n"/>
      <c r="O117" s="113" t="n"/>
      <c r="P117" s="113" t="n"/>
      <c r="Q117" s="113" t="n"/>
      <c r="R117" s="114" t="n"/>
      <c r="S117" s="86" t="n"/>
    </row>
    <row r="118" ht="20" customHeight="1">
      <c r="A118" s="45" t="inlineStr">
        <is>
          <t>MXFP4</t>
        </is>
      </c>
      <c r="B118" s="46" t="n">
        <v>128</v>
      </c>
      <c r="C118" s="46" t="n">
        <v>256</v>
      </c>
      <c r="D118" s="46" t="n">
        <v>7168</v>
      </c>
      <c r="E118" s="46" t="n">
        <v>128</v>
      </c>
      <c r="F118" s="46" t="n">
        <v>64</v>
      </c>
      <c r="G118" s="46" t="n">
        <v>256</v>
      </c>
      <c r="H118" s="46" t="n">
        <v>36</v>
      </c>
      <c r="I118" s="46" t="n">
        <v>18</v>
      </c>
      <c r="J118" s="46" t="n">
        <v>54</v>
      </c>
      <c r="K118" s="125" t="n">
        <v>100310</v>
      </c>
      <c r="L118" s="126">
        <f>ROUND(B118*C118*D118/16384/K118*100,1)/100</f>
        <v/>
      </c>
      <c r="M118" s="127">
        <f>IF(OR(E118="",F118="",G118=""),"",((H118+I118)*1024)/(E118*F118*G118/16384))</f>
        <v/>
      </c>
      <c r="N118" s="127">
        <f>IF(OR(E118="",F118="",G118=""),"",(E118*F118*4)/(E118*F118*G118/16384))</f>
        <v/>
      </c>
      <c r="O118" s="126">
        <f>IF(AND(ISNUMBER(M118),M118&gt;0),MIN(1,128/M118),"")</f>
        <v/>
      </c>
      <c r="P118" s="126">
        <f>IF(AND(ISNUMBER(N118),N118&gt;0),MIN(1,512/N118),"")</f>
        <v/>
      </c>
      <c r="Q118" s="126">
        <f>IF(AND(ISNUMBER(O118),ISNUMBER(P118)),MIN(O118,P118),"")</f>
        <v/>
      </c>
      <c r="R118" s="127">
        <f>IF(AND(ISNUMBER(L118),ISNUMBER(Q118)),(L118-Q118)*100,"")</f>
        <v/>
      </c>
      <c r="S118" s="92" t="inlineStr">
        <is>
          <t>PASS</t>
        </is>
      </c>
      <c r="T118" t="inlineStr">
        <is>
          <t>本轮 model-main 9b3a4405 + 8参数(256KB ShareTReg) 2026-09-22</t>
        </is>
      </c>
    </row>
    <row r="119" ht="20" customHeight="1">
      <c r="A119" s="45" t="inlineStr">
        <is>
          <t>MXFP4</t>
        </is>
      </c>
      <c r="B119" s="46" t="n">
        <v>128</v>
      </c>
      <c r="C119" s="46" t="n">
        <v>256</v>
      </c>
      <c r="D119" s="46" t="n">
        <v>7168</v>
      </c>
      <c r="E119" s="46" t="n">
        <v>128</v>
      </c>
      <c r="F119" s="46" t="n">
        <v>64</v>
      </c>
      <c r="G119" s="46" t="n">
        <v>512</v>
      </c>
      <c r="H119" s="46" t="n">
        <v>68</v>
      </c>
      <c r="I119" s="46" t="n">
        <v>34</v>
      </c>
      <c r="J119" s="46" t="n">
        <v>102</v>
      </c>
      <c r="K119" s="125" t="n">
        <v>97768</v>
      </c>
      <c r="L119" s="126">
        <f>ROUND(B119*C119*D119/16384/K119*100,1)/100</f>
        <v/>
      </c>
      <c r="M119" s="127">
        <f>IF(OR(E119="",F119="",G119=""),"",((H119+I119)*1024)/(E119*F119*G119/16384))</f>
        <v/>
      </c>
      <c r="N119" s="127">
        <f>IF(OR(E119="",F119="",G119=""),"",(E119*F119*4)/(E119*F119*G119/16384))</f>
        <v/>
      </c>
      <c r="O119" s="126">
        <f>IF(AND(ISNUMBER(M119),M119&gt;0),MIN(1,128/M119),"")</f>
        <v/>
      </c>
      <c r="P119" s="126">
        <f>IF(AND(ISNUMBER(N119),N119&gt;0),MIN(1,512/N119),"")</f>
        <v/>
      </c>
      <c r="Q119" s="126">
        <f>IF(AND(ISNUMBER(O119),ISNUMBER(P119)),MIN(O119,P119),"")</f>
        <v/>
      </c>
      <c r="R119" s="127">
        <f>IF(AND(ISNUMBER(L119),ISNUMBER(Q119)),(L119-Q119)*100,"")</f>
        <v/>
      </c>
      <c r="S119" s="92" t="inlineStr">
        <is>
          <t>PASS</t>
        </is>
      </c>
      <c r="T119" t="inlineStr">
        <is>
          <t>本轮 model-main 9b3a4405 + 8参数(256KB ShareTReg) 2026-09-22</t>
        </is>
      </c>
    </row>
    <row r="120" ht="20" customHeight="1">
      <c r="A120" s="45" t="inlineStr">
        <is>
          <t>MXFP4</t>
        </is>
      </c>
      <c r="B120" s="46" t="n">
        <v>128</v>
      </c>
      <c r="C120" s="46" t="n">
        <v>256</v>
      </c>
      <c r="D120" s="46" t="n">
        <v>7168</v>
      </c>
      <c r="E120" s="46" t="n">
        <v>128</v>
      </c>
      <c r="F120" s="46" t="n">
        <v>64</v>
      </c>
      <c r="G120" s="46" t="n">
        <v>1024</v>
      </c>
      <c r="H120" s="46" t="n">
        <v>132</v>
      </c>
      <c r="I120" s="46" t="n">
        <v>66</v>
      </c>
      <c r="J120" s="46" t="n">
        <v>198</v>
      </c>
      <c r="K120" s="125" t="n">
        <v>152675</v>
      </c>
      <c r="L120" s="126">
        <f>ROUND(B120*C120*D120/16384/K120*100,1)/100</f>
        <v/>
      </c>
      <c r="M120" s="127">
        <f>IF(OR(E120="",F120="",G120=""),"",((H120+I120)*1024)/(E120*F120*G120/16384))</f>
        <v/>
      </c>
      <c r="N120" s="127">
        <f>IF(OR(E120="",F120="",G120=""),"",(E120*F120*4)/(E120*F120*G120/16384))</f>
        <v/>
      </c>
      <c r="O120" s="126">
        <f>IF(AND(ISNUMBER(M120),M120&gt;0),MIN(1,128/M120),"")</f>
        <v/>
      </c>
      <c r="P120" s="126">
        <f>IF(AND(ISNUMBER(N120),N120&gt;0),MIN(1,512/N120),"")</f>
        <v/>
      </c>
      <c r="Q120" s="126">
        <f>IF(AND(ISNUMBER(O120),ISNUMBER(P120)),MIN(O120,P120),"")</f>
        <v/>
      </c>
      <c r="R120" s="127">
        <f>IF(AND(ISNUMBER(L120),ISNUMBER(Q120)),(L120-Q120)*100,"")</f>
        <v/>
      </c>
      <c r="S120" s="92" t="inlineStr">
        <is>
          <t>PASS</t>
        </is>
      </c>
      <c r="T120" t="inlineStr">
        <is>
          <t>本轮 model-main 9b3a4405 + 8参数(256KB ShareTReg) 2026-09-22</t>
        </is>
      </c>
    </row>
    <row r="121" ht="20" customHeight="1">
      <c r="A121" s="45" t="inlineStr">
        <is>
          <t>MXFP4</t>
        </is>
      </c>
      <c r="B121" s="46" t="n">
        <v>128</v>
      </c>
      <c r="C121" s="46" t="n">
        <v>256</v>
      </c>
      <c r="D121" s="46" t="n">
        <v>7168</v>
      </c>
      <c r="E121" s="46" t="n">
        <v>128</v>
      </c>
      <c r="F121" s="46" t="n">
        <v>128</v>
      </c>
      <c r="G121" s="46" t="n">
        <v>256</v>
      </c>
      <c r="H121" s="46" t="n">
        <v>36</v>
      </c>
      <c r="I121" s="46" t="n">
        <v>36</v>
      </c>
      <c r="J121" s="46" t="n">
        <v>72</v>
      </c>
      <c r="K121" s="125" t="n">
        <v>68863</v>
      </c>
      <c r="L121" s="126">
        <f>ROUND(B121*C121*D121/16384/K121*100,1)/100</f>
        <v/>
      </c>
      <c r="M121" s="127">
        <f>IF(OR(E121="",F121="",G121=""),"",((H121+I121)*1024)/(E121*F121*G121/16384))</f>
        <v/>
      </c>
      <c r="N121" s="127">
        <f>IF(OR(E121="",F121="",G121=""),"",(E121*F121*4)/(E121*F121*G121/16384))</f>
        <v/>
      </c>
      <c r="O121" s="126">
        <f>IF(AND(ISNUMBER(M121),M121&gt;0),MIN(1,128/M121),"")</f>
        <v/>
      </c>
      <c r="P121" s="126">
        <f>IF(AND(ISNUMBER(N121),N121&gt;0),MIN(1,512/N121),"")</f>
        <v/>
      </c>
      <c r="Q121" s="126">
        <f>IF(AND(ISNUMBER(O121),ISNUMBER(P121)),MIN(O121,P121),"")</f>
        <v/>
      </c>
      <c r="R121" s="127">
        <f>IF(AND(ISNUMBER(L121),ISNUMBER(Q121)),(L121-Q121)*100,"")</f>
        <v/>
      </c>
      <c r="S121" s="92" t="inlineStr">
        <is>
          <t>PASS</t>
        </is>
      </c>
      <c r="T121" t="inlineStr">
        <is>
          <t>本轮 model-main 9b3a4405 + 8参数(256KB ShareTReg) 2026-09-22</t>
        </is>
      </c>
    </row>
    <row r="122" ht="20" customHeight="1">
      <c r="A122" s="45" t="inlineStr">
        <is>
          <t>MXFP4</t>
        </is>
      </c>
      <c r="B122" s="46" t="n">
        <v>128</v>
      </c>
      <c r="C122" s="46" t="n">
        <v>256</v>
      </c>
      <c r="D122" s="46" t="n">
        <v>7168</v>
      </c>
      <c r="E122" s="46" t="n">
        <v>128</v>
      </c>
      <c r="F122" s="46" t="n">
        <v>128</v>
      </c>
      <c r="G122" s="46" t="n">
        <v>512</v>
      </c>
      <c r="H122" s="46" t="n">
        <v>68</v>
      </c>
      <c r="I122" s="46" t="n">
        <v>68</v>
      </c>
      <c r="J122" s="46" t="n">
        <v>136</v>
      </c>
      <c r="K122" s="125" t="n">
        <v>79634</v>
      </c>
      <c r="L122" s="126">
        <f>ROUND(B122*C122*D122/16384/K122*100,1)/100</f>
        <v/>
      </c>
      <c r="M122" s="127">
        <f>IF(OR(E122="",F122="",G122=""),"",((H122+I122)*1024)/(E122*F122*G122/16384))</f>
        <v/>
      </c>
      <c r="N122" s="127">
        <f>IF(OR(E122="",F122="",G122=""),"",(E122*F122*4)/(E122*F122*G122/16384))</f>
        <v/>
      </c>
      <c r="O122" s="126">
        <f>IF(AND(ISNUMBER(M122),M122&gt;0),MIN(1,128/M122),"")</f>
        <v/>
      </c>
      <c r="P122" s="126">
        <f>IF(AND(ISNUMBER(N122),N122&gt;0),MIN(1,512/N122),"")</f>
        <v/>
      </c>
      <c r="Q122" s="126">
        <f>IF(AND(ISNUMBER(O122),ISNUMBER(P122)),MIN(O122,P122),"")</f>
        <v/>
      </c>
      <c r="R122" s="127">
        <f>IF(AND(ISNUMBER(L122),ISNUMBER(Q122)),(L122-Q122)*100,"")</f>
        <v/>
      </c>
      <c r="S122" s="92" t="inlineStr">
        <is>
          <t>PASS</t>
        </is>
      </c>
      <c r="T122" t="inlineStr">
        <is>
          <t>本轮 model-main 9b3a4405 + 8参数(256KB ShareTReg) 2026-09-22</t>
        </is>
      </c>
    </row>
    <row r="123" ht="20" customHeight="1">
      <c r="A123" s="45" t="inlineStr">
        <is>
          <t>MXFP4</t>
        </is>
      </c>
      <c r="B123" s="46" t="n">
        <v>128</v>
      </c>
      <c r="C123" s="46" t="n">
        <v>256</v>
      </c>
      <c r="D123" s="46" t="n">
        <v>7168</v>
      </c>
      <c r="E123" s="46" t="n">
        <v>128</v>
      </c>
      <c r="F123" s="46" t="n">
        <v>128</v>
      </c>
      <c r="G123" s="46" t="n">
        <v>1024</v>
      </c>
      <c r="H123" s="46" t="n">
        <v>132</v>
      </c>
      <c r="I123" s="46" t="n">
        <v>132</v>
      </c>
      <c r="J123" s="46" t="n">
        <v>264</v>
      </c>
      <c r="K123" s="125" t="inlineStr">
        <is>
          <t>—</t>
        </is>
      </c>
      <c r="L123" s="126" t="n"/>
      <c r="M123" s="127">
        <f>IF(OR(E123="",F123="",G123=""),"",((H123+I123)*1024)/(E123*F123*G123/16384))</f>
        <v/>
      </c>
      <c r="N123" s="127">
        <f>IF(OR(E123="",F123="",G123=""),"",(E123*F123*4)/(E123*F123*G123/16384))</f>
        <v/>
      </c>
      <c r="O123" s="126">
        <f>IF(AND(ISNUMBER(M123),M123&gt;0),MIN(1,128/M123),"")</f>
        <v/>
      </c>
      <c r="P123" s="126">
        <f>IF(AND(ISNUMBER(N123),N123&gt;0),MIN(1,512/N123),"")</f>
        <v/>
      </c>
      <c r="Q123" s="126">
        <f>IF(AND(ISNUMBER(O123),ISNUMBER(P123)),MIN(O123,P123),"")</f>
        <v/>
      </c>
      <c r="R123" s="127" t="n"/>
      <c r="S123" s="97" t="inlineStr">
        <is>
          <t>COMPILE_FAIL</t>
        </is>
      </c>
      <c r="T123" t="inlineStr">
        <is>
          <t>容量超限：完整 SharedTile 足迹 &gt; 256 KiB；本轮 model-main 9b3a4405 + 8参数(256KB ShareTReg) 2026-09-22</t>
        </is>
      </c>
    </row>
    <row r="124" ht="20" customHeight="1">
      <c r="A124" s="45" t="inlineStr">
        <is>
          <t>MXFP4</t>
        </is>
      </c>
      <c r="B124" s="46" t="n">
        <v>128</v>
      </c>
      <c r="C124" s="46" t="n">
        <v>256</v>
      </c>
      <c r="D124" s="46" t="n">
        <v>7168</v>
      </c>
      <c r="E124" s="104" t="n">
        <v>128</v>
      </c>
      <c r="F124" s="104" t="n">
        <v>256</v>
      </c>
      <c r="G124" s="104" t="n">
        <v>256</v>
      </c>
      <c r="H124" s="46" t="n">
        <v>36</v>
      </c>
      <c r="I124" s="46" t="n">
        <v>72</v>
      </c>
      <c r="J124" s="46" t="n">
        <v>108</v>
      </c>
      <c r="K124" s="125" t="n">
        <v>59722</v>
      </c>
      <c r="L124" s="118">
        <f>ROUND(B124*C124*D124/16384/K124*100,1)/100</f>
        <v/>
      </c>
      <c r="M124" s="127">
        <f>IF(OR(E124="",F124="",G124=""),"",((H124+I124)*1024)/(E124*F124*G124/16384))</f>
        <v/>
      </c>
      <c r="N124" s="127">
        <f>IF(OR(E124="",F124="",G124=""),"",(E124*F124*4)/(E124*F124*G124/16384))</f>
        <v/>
      </c>
      <c r="O124" s="126">
        <f>IF(AND(ISNUMBER(M124),M124&gt;0),MIN(1,128/M124),"")</f>
        <v/>
      </c>
      <c r="P124" s="126">
        <f>IF(AND(ISNUMBER(N124),N124&gt;0),MIN(1,512/N124),"")</f>
        <v/>
      </c>
      <c r="Q124" s="126">
        <f>IF(AND(ISNUMBER(O124),ISNUMBER(P124)),MIN(O124,P124),"")</f>
        <v/>
      </c>
      <c r="R124" s="127">
        <f>IF(AND(ISNUMBER(L124),ISNUMBER(Q124)),(L124-Q124)*100,"")</f>
        <v/>
      </c>
      <c r="S124" s="92" t="inlineStr">
        <is>
          <t>PASS</t>
        </is>
      </c>
      <c r="T124" t="inlineStr">
        <is>
          <t>本轮 model-main 9b3a4405 + 8参数(256KB ShareTReg) 2026-09-22</t>
        </is>
      </c>
    </row>
    <row r="125" ht="20" customHeight="1">
      <c r="A125" s="45" t="inlineStr">
        <is>
          <t>MXFP4</t>
        </is>
      </c>
      <c r="B125" s="46" t="n">
        <v>128</v>
      </c>
      <c r="C125" s="46" t="n">
        <v>256</v>
      </c>
      <c r="D125" s="46" t="n">
        <v>7168</v>
      </c>
      <c r="E125" s="46" t="n">
        <v>128</v>
      </c>
      <c r="F125" s="46" t="n">
        <v>256</v>
      </c>
      <c r="G125" s="46" t="n">
        <v>512</v>
      </c>
      <c r="H125" s="46" t="n">
        <v>68</v>
      </c>
      <c r="I125" s="46" t="n">
        <v>136</v>
      </c>
      <c r="J125" s="46" t="n">
        <v>204</v>
      </c>
      <c r="K125" s="125" t="n">
        <v>77702</v>
      </c>
      <c r="L125" s="126">
        <f>ROUND(B125*C125*D125/16384/K125*100,1)/100</f>
        <v/>
      </c>
      <c r="M125" s="127">
        <f>IF(OR(E125="",F125="",G125=""),"",((H125+I125)*1024)/(E125*F125*G125/16384))</f>
        <v/>
      </c>
      <c r="N125" s="127">
        <f>IF(OR(E125="",F125="",G125=""),"",(E125*F125*4)/(E125*F125*G125/16384))</f>
        <v/>
      </c>
      <c r="O125" s="126">
        <f>IF(AND(ISNUMBER(M125),M125&gt;0),MIN(1,128/M125),"")</f>
        <v/>
      </c>
      <c r="P125" s="126">
        <f>IF(AND(ISNUMBER(N125),N125&gt;0),MIN(1,512/N125),"")</f>
        <v/>
      </c>
      <c r="Q125" s="126">
        <f>IF(AND(ISNUMBER(O125),ISNUMBER(P125)),MIN(O125,P125),"")</f>
        <v/>
      </c>
      <c r="R125" s="127">
        <f>IF(AND(ISNUMBER(L125),ISNUMBER(Q125)),(L125-Q125)*100,"")</f>
        <v/>
      </c>
      <c r="S125" s="92" t="inlineStr">
        <is>
          <t>PASS</t>
        </is>
      </c>
      <c r="T125" t="inlineStr">
        <is>
          <t>本轮 model-main 9b3a4405 + 8参数(256KB ShareTReg) 2026-09-22</t>
        </is>
      </c>
    </row>
    <row r="126" ht="20" customHeight="1">
      <c r="A126" s="45" t="inlineStr">
        <is>
          <t>MXFP4</t>
        </is>
      </c>
      <c r="B126" s="46" t="n">
        <v>128</v>
      </c>
      <c r="C126" s="46" t="n">
        <v>256</v>
      </c>
      <c r="D126" s="46" t="n">
        <v>7168</v>
      </c>
      <c r="E126" s="46" t="n">
        <v>128</v>
      </c>
      <c r="F126" s="46" t="n">
        <v>256</v>
      </c>
      <c r="G126" s="46" t="n">
        <v>1024</v>
      </c>
      <c r="H126" s="46" t="n">
        <v>132</v>
      </c>
      <c r="I126" s="46" t="n">
        <v>264</v>
      </c>
      <c r="J126" s="46" t="n">
        <v>396</v>
      </c>
      <c r="K126" s="125" t="inlineStr">
        <is>
          <t>—</t>
        </is>
      </c>
      <c r="L126" s="126" t="n"/>
      <c r="M126" s="127">
        <f>IF(OR(E126="",F126="",G126=""),"",((H126+I126)*1024)/(E126*F126*G126/16384))</f>
        <v/>
      </c>
      <c r="N126" s="127">
        <f>IF(OR(E126="",F126="",G126=""),"",(E126*F126*4)/(E126*F126*G126/16384))</f>
        <v/>
      </c>
      <c r="O126" s="126">
        <f>IF(AND(ISNUMBER(M126),M126&gt;0),MIN(1,128/M126),"")</f>
        <v/>
      </c>
      <c r="P126" s="126">
        <f>IF(AND(ISNUMBER(N126),N126&gt;0),MIN(1,512/N126),"")</f>
        <v/>
      </c>
      <c r="Q126" s="126">
        <f>IF(AND(ISNUMBER(O126),ISNUMBER(P126)),MIN(O126,P126),"")</f>
        <v/>
      </c>
      <c r="R126" s="127" t="n"/>
      <c r="S126" s="97" t="inlineStr">
        <is>
          <t>COMPILE_FAIL</t>
        </is>
      </c>
      <c r="T126" t="inlineStr">
        <is>
          <t>容量超限：完整 SharedTile 足迹 &gt; 256 KiB；本轮 model-main 9b3a4405 + 8参数(256KB ShareTReg) 2026-09-22</t>
        </is>
      </c>
    </row>
    <row r="127" ht="26" customHeight="1">
      <c r="A127" s="63" t="inlineStr">
        <is>
          <t>▌ S3  —  256×128×7168</t>
        </is>
      </c>
      <c r="B127" s="64" t="n"/>
      <c r="C127" s="64" t="n"/>
      <c r="D127" s="64" t="n"/>
      <c r="E127" s="64" t="n"/>
      <c r="F127" s="64" t="n"/>
      <c r="G127" s="64" t="n"/>
      <c r="H127" s="64" t="n"/>
      <c r="I127" s="64" t="n"/>
      <c r="J127" s="64" t="n"/>
      <c r="K127" s="109" t="n"/>
      <c r="L127" s="110" t="n"/>
      <c r="M127" s="111" t="n"/>
      <c r="N127" s="111" t="n"/>
      <c r="O127" s="110" t="n"/>
      <c r="P127" s="110" t="n"/>
      <c r="Q127" s="110" t="n"/>
      <c r="R127" s="111" t="n"/>
      <c r="S127" s="68" t="n"/>
    </row>
    <row r="128" ht="23" customHeight="1">
      <c r="A128" s="81" t="inlineStr">
        <is>
          <t>FP32</t>
        </is>
      </c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112" t="n"/>
      <c r="L128" s="113" t="n"/>
      <c r="M128" s="114" t="n"/>
      <c r="N128" s="114" t="n"/>
      <c r="O128" s="113" t="n"/>
      <c r="P128" s="113" t="n"/>
      <c r="Q128" s="113" t="n"/>
      <c r="R128" s="114" t="n"/>
      <c r="S128" s="86" t="n"/>
    </row>
    <row r="129" ht="20" customHeight="1">
      <c r="A129" s="27" t="inlineStr">
        <is>
          <t>FP32</t>
        </is>
      </c>
      <c r="B129" s="28" t="n">
        <v>256</v>
      </c>
      <c r="C129" s="28" t="n">
        <v>128</v>
      </c>
      <c r="D129" s="28" t="n">
        <v>7168</v>
      </c>
      <c r="E129" s="28" t="n">
        <v>128</v>
      </c>
      <c r="F129" s="28" t="n">
        <v>64</v>
      </c>
      <c r="G129" s="28" t="n">
        <v>64</v>
      </c>
      <c r="H129" s="28" t="n">
        <v>32</v>
      </c>
      <c r="I129" s="28" t="n">
        <v>16</v>
      </c>
      <c r="J129" s="28" t="n">
        <v>48</v>
      </c>
      <c r="K129" s="115" t="n">
        <v>305604</v>
      </c>
      <c r="L129" s="116" t="n"/>
      <c r="M129" s="117">
        <f>IF(OR(E129="",F129="",G129=""),"",((H129+I129)*1024)/(E129*F129*G129/2048))</f>
        <v/>
      </c>
      <c r="N129" s="117">
        <f>IF(OR(E129="",F129="",G129=""),"",(E129*F129*4)/(E129*F129*G129/2048))</f>
        <v/>
      </c>
      <c r="O129" s="116">
        <f>IF(AND(ISNUMBER(M129),M129&gt;0),MIN(1,128/M129),"")</f>
        <v/>
      </c>
      <c r="P129" s="116">
        <f>IF(AND(ISNUMBER(N129),N129&gt;0),MIN(1,512/N129),"")</f>
        <v/>
      </c>
      <c r="Q129" s="116">
        <f>IF(AND(ISNUMBER(O129),ISNUMBER(P129)),MIN(O129,P129),"")</f>
        <v/>
      </c>
      <c r="R129" s="117" t="n"/>
      <c r="S129" s="94" t="inlineStr">
        <is>
          <t>PASS</t>
        </is>
      </c>
      <c r="T129" t="inlineStr">
        <is>
          <t>本轮 model-main 9b3a4405 + 8参数(256KB ShareTReg) 2026-09-22</t>
        </is>
      </c>
    </row>
    <row r="130" ht="20" customHeight="1">
      <c r="A130" s="27" t="inlineStr">
        <is>
          <t>FP32</t>
        </is>
      </c>
      <c r="B130" s="28" t="n">
        <v>256</v>
      </c>
      <c r="C130" s="28" t="n">
        <v>128</v>
      </c>
      <c r="D130" s="28" t="n">
        <v>7168</v>
      </c>
      <c r="E130" s="28" t="n">
        <v>128</v>
      </c>
      <c r="F130" s="28" t="n">
        <v>64</v>
      </c>
      <c r="G130" s="28" t="n">
        <v>128</v>
      </c>
      <c r="H130" s="28" t="n">
        <v>64</v>
      </c>
      <c r="I130" s="28" t="n">
        <v>32</v>
      </c>
      <c r="J130" s="28" t="n">
        <v>96</v>
      </c>
      <c r="K130" s="115" t="n">
        <v>305594</v>
      </c>
      <c r="L130" s="116">
        <f>ROUND(B130*C130*D130/2048/K130*100,1)/100</f>
        <v/>
      </c>
      <c r="M130" s="117">
        <f>IF(OR(E130="",F130="",G130=""),"",((H130+I130)*1024)/(E130*F130*G130/2048))</f>
        <v/>
      </c>
      <c r="N130" s="117">
        <f>IF(OR(E130="",F130="",G130=""),"",(E130*F130*4)/(E130*F130*G130/2048))</f>
        <v/>
      </c>
      <c r="O130" s="116">
        <f>IF(AND(ISNUMBER(M130),M130&gt;0),MIN(1,128/M130),"")</f>
        <v/>
      </c>
      <c r="P130" s="116">
        <f>IF(AND(ISNUMBER(N130),N130&gt;0),MIN(1,512/N130),"")</f>
        <v/>
      </c>
      <c r="Q130" s="116">
        <f>IF(AND(ISNUMBER(O130),ISNUMBER(P130)),MIN(O130,P130),"")</f>
        <v/>
      </c>
      <c r="R130" s="117">
        <f>IF(AND(ISNUMBER(L130),ISNUMBER(Q130)),(L130-Q130)*100,"")</f>
        <v/>
      </c>
      <c r="S130" s="87" t="inlineStr">
        <is>
          <t>PASS</t>
        </is>
      </c>
      <c r="T130" t="inlineStr">
        <is>
          <t>本轮 model-main 9b3a4405 + 8参数(256KB ShareTReg) 2026-09-22</t>
        </is>
      </c>
    </row>
    <row r="131" ht="20" customHeight="1">
      <c r="A131" s="27" t="inlineStr">
        <is>
          <t>FP32</t>
        </is>
      </c>
      <c r="B131" s="28" t="n">
        <v>256</v>
      </c>
      <c r="C131" s="28" t="n">
        <v>128</v>
      </c>
      <c r="D131" s="28" t="n">
        <v>7168</v>
      </c>
      <c r="E131" s="28" t="n">
        <v>128</v>
      </c>
      <c r="F131" s="28" t="n">
        <v>64</v>
      </c>
      <c r="G131" s="28" t="n">
        <v>256</v>
      </c>
      <c r="H131" s="28" t="n">
        <v>128</v>
      </c>
      <c r="I131" s="28" t="n">
        <v>64</v>
      </c>
      <c r="J131" s="28" t="n">
        <v>192</v>
      </c>
      <c r="K131" s="115" t="n">
        <v>579411</v>
      </c>
      <c r="L131" s="116">
        <f>ROUND(B131*C131*D131/2048/K131*100,1)/100</f>
        <v/>
      </c>
      <c r="M131" s="117">
        <f>IF(OR(E131="",F131="",G131=""),"",((H131+I131)*1024)/(E131*F131*G131/2048))</f>
        <v/>
      </c>
      <c r="N131" s="117">
        <f>IF(OR(E131="",F131="",G131=""),"",(E131*F131*4)/(E131*F131*G131/2048))</f>
        <v/>
      </c>
      <c r="O131" s="116">
        <f>IF(AND(ISNUMBER(M131),M131&gt;0),MIN(1,128/M131),"")</f>
        <v/>
      </c>
      <c r="P131" s="116">
        <f>IF(AND(ISNUMBER(N131),N131&gt;0),MIN(1,512/N131),"")</f>
        <v/>
      </c>
      <c r="Q131" s="116">
        <f>IF(AND(ISNUMBER(O131),ISNUMBER(P131)),MIN(O131,P131),"")</f>
        <v/>
      </c>
      <c r="R131" s="117">
        <f>IF(AND(ISNUMBER(L131),ISNUMBER(Q131)),(L131-Q131)*100,"")</f>
        <v/>
      </c>
      <c r="S131" s="87" t="inlineStr">
        <is>
          <t>PASS</t>
        </is>
      </c>
      <c r="T131" t="inlineStr">
        <is>
          <t>本轮 model-main 9b3a4405 + 8参数(256KB ShareTReg) 2026-09-22</t>
        </is>
      </c>
    </row>
    <row r="132" ht="20" customHeight="1">
      <c r="A132" s="27" t="inlineStr">
        <is>
          <t>FP32</t>
        </is>
      </c>
      <c r="B132" s="28" t="n">
        <v>256</v>
      </c>
      <c r="C132" s="28" t="n">
        <v>128</v>
      </c>
      <c r="D132" s="28" t="n">
        <v>7168</v>
      </c>
      <c r="E132" s="28" t="n">
        <v>128</v>
      </c>
      <c r="F132" s="28" t="n">
        <v>64</v>
      </c>
      <c r="G132" s="28" t="n">
        <v>512</v>
      </c>
      <c r="H132" s="28" t="n">
        <v>256</v>
      </c>
      <c r="I132" s="28" t="n">
        <v>128</v>
      </c>
      <c r="J132" s="28" t="n">
        <v>384</v>
      </c>
      <c r="K132" s="115" t="inlineStr">
        <is>
          <t>—</t>
        </is>
      </c>
      <c r="L132" s="116" t="n"/>
      <c r="M132" s="117">
        <f>IF(OR(E132="",F132="",G132=""),"",((H132+I132)*1024)/(E132*F132*G132/2048))</f>
        <v/>
      </c>
      <c r="N132" s="117">
        <f>IF(OR(E132="",F132="",G132=""),"",(E132*F132*4)/(E132*F132*G132/2048))</f>
        <v/>
      </c>
      <c r="O132" s="116">
        <f>IF(AND(ISNUMBER(M132),M132&gt;0),MIN(1,128/M132),"")</f>
        <v/>
      </c>
      <c r="P132" s="116">
        <f>IF(AND(ISNUMBER(N132),N132&gt;0),MIN(1,512/N132),"")</f>
        <v/>
      </c>
      <c r="Q132" s="116">
        <f>IF(AND(ISNUMBER(O132),ISNUMBER(P132)),MIN(O132,P132),"")</f>
        <v/>
      </c>
      <c r="R132" s="117" t="n"/>
      <c r="S132" s="98" t="inlineStr">
        <is>
          <t>COMPILE_FAIL</t>
        </is>
      </c>
      <c r="T132" t="inlineStr">
        <is>
          <t>容量超限：完整 SharedTile 足迹 &gt; 256 KiB；本轮 model-main 9b3a4405 + 8参数(256KB ShareTReg) 2026-09-22</t>
        </is>
      </c>
    </row>
    <row r="133" ht="20" customHeight="1">
      <c r="A133" s="27" t="inlineStr">
        <is>
          <t>FP32</t>
        </is>
      </c>
      <c r="B133" s="28" t="n">
        <v>256</v>
      </c>
      <c r="C133" s="28" t="n">
        <v>128</v>
      </c>
      <c r="D133" s="28" t="n">
        <v>7168</v>
      </c>
      <c r="E133" s="99" t="n">
        <v>128</v>
      </c>
      <c r="F133" s="99" t="n">
        <v>128</v>
      </c>
      <c r="G133" s="99" t="n">
        <v>64</v>
      </c>
      <c r="H133" s="28" t="n">
        <v>32</v>
      </c>
      <c r="I133" s="28" t="n">
        <v>32</v>
      </c>
      <c r="J133" s="28" t="n">
        <v>64</v>
      </c>
      <c r="K133" s="115" t="n">
        <v>204278</v>
      </c>
      <c r="L133" s="118">
        <f>ROUND(B133*C133*D133/2048/K133*100,1)/100</f>
        <v/>
      </c>
      <c r="M133" s="117">
        <f>IF(OR(E133="",F133="",G133=""),"",((H133+I133)*1024)/(E133*F133*G133/2048))</f>
        <v/>
      </c>
      <c r="N133" s="117">
        <f>IF(OR(E133="",F133="",G133=""),"",(E133*F133*4)/(E133*F133*G133/2048))</f>
        <v/>
      </c>
      <c r="O133" s="116">
        <f>IF(AND(ISNUMBER(M133),M133&gt;0),MIN(1,128/M133),"")</f>
        <v/>
      </c>
      <c r="P133" s="116">
        <f>IF(AND(ISNUMBER(N133),N133&gt;0),MIN(1,512/N133),"")</f>
        <v/>
      </c>
      <c r="Q133" s="116">
        <f>IF(AND(ISNUMBER(O133),ISNUMBER(P133)),MIN(O133,P133),"")</f>
        <v/>
      </c>
      <c r="R133" s="117">
        <f>IF(AND(ISNUMBER(L133),ISNUMBER(Q133)),(L133-Q133)*100,"")</f>
        <v/>
      </c>
      <c r="S133" s="87" t="inlineStr">
        <is>
          <t>PASS</t>
        </is>
      </c>
      <c r="T133" t="inlineStr">
        <is>
          <t>本轮 model-main 9b3a4405 + 8参数(256KB ShareTReg) 2026-09-22</t>
        </is>
      </c>
    </row>
    <row r="134" ht="20" customHeight="1">
      <c r="A134" s="27" t="inlineStr">
        <is>
          <t>FP32</t>
        </is>
      </c>
      <c r="B134" s="28" t="n">
        <v>256</v>
      </c>
      <c r="C134" s="28" t="n">
        <v>128</v>
      </c>
      <c r="D134" s="28" t="n">
        <v>7168</v>
      </c>
      <c r="E134" s="28" t="n">
        <v>128</v>
      </c>
      <c r="F134" s="28" t="n">
        <v>128</v>
      </c>
      <c r="G134" s="28" t="n">
        <v>128</v>
      </c>
      <c r="H134" s="28" t="n">
        <v>64</v>
      </c>
      <c r="I134" s="28" t="n">
        <v>64</v>
      </c>
      <c r="J134" s="28" t="n">
        <v>128</v>
      </c>
      <c r="K134" s="115" t="n">
        <v>207804</v>
      </c>
      <c r="L134" s="116">
        <f>ROUND(B134*C134*D134/2048/K134*100,1)/100</f>
        <v/>
      </c>
      <c r="M134" s="117">
        <f>IF(OR(E134="",F134="",G134=""),"",((H134+I134)*1024)/(E134*F134*G134/2048))</f>
        <v/>
      </c>
      <c r="N134" s="117">
        <f>IF(OR(E134="",F134="",G134=""),"",(E134*F134*4)/(E134*F134*G134/2048))</f>
        <v/>
      </c>
      <c r="O134" s="116">
        <f>IF(AND(ISNUMBER(M134),M134&gt;0),MIN(1,128/M134),"")</f>
        <v/>
      </c>
      <c r="P134" s="116">
        <f>IF(AND(ISNUMBER(N134),N134&gt;0),MIN(1,512/N134),"")</f>
        <v/>
      </c>
      <c r="Q134" s="116">
        <f>IF(AND(ISNUMBER(O134),ISNUMBER(P134)),MIN(O134,P134),"")</f>
        <v/>
      </c>
      <c r="R134" s="117">
        <f>IF(AND(ISNUMBER(L134),ISNUMBER(Q134)),(L134-Q134)*100,"")</f>
        <v/>
      </c>
      <c r="S134" s="87" t="inlineStr">
        <is>
          <t>PASS</t>
        </is>
      </c>
      <c r="T134" t="inlineStr">
        <is>
          <t>本轮 model-main 9b3a4405 + 8参数(256KB ShareTReg) 2026-09-22</t>
        </is>
      </c>
    </row>
    <row r="135" ht="20" customHeight="1">
      <c r="A135" s="27" t="inlineStr">
        <is>
          <t>FP32</t>
        </is>
      </c>
      <c r="B135" s="28" t="n">
        <v>256</v>
      </c>
      <c r="C135" s="28" t="n">
        <v>128</v>
      </c>
      <c r="D135" s="28" t="n">
        <v>7168</v>
      </c>
      <c r="E135" s="28" t="n">
        <v>128</v>
      </c>
      <c r="F135" s="28" t="n">
        <v>128</v>
      </c>
      <c r="G135" s="28" t="n">
        <v>256</v>
      </c>
      <c r="H135" s="28" t="n">
        <v>128</v>
      </c>
      <c r="I135" s="28" t="n">
        <v>128</v>
      </c>
      <c r="J135" s="28" t="n">
        <v>256</v>
      </c>
      <c r="K135" s="115" t="n">
        <v>398010</v>
      </c>
      <c r="L135" s="116">
        <f>ROUND(B135*C135*D135/2048/K135*100,1)/100</f>
        <v/>
      </c>
      <c r="M135" s="117">
        <f>IF(OR(E135="",F135="",G135=""),"",((H135+I135)*1024)/(E135*F135*G135/2048))</f>
        <v/>
      </c>
      <c r="N135" s="117">
        <f>IF(OR(E135="",F135="",G135=""),"",(E135*F135*4)/(E135*F135*G135/2048))</f>
        <v/>
      </c>
      <c r="O135" s="116">
        <f>IF(AND(ISNUMBER(M135),M135&gt;0),MIN(1,128/M135),"")</f>
        <v/>
      </c>
      <c r="P135" s="116">
        <f>IF(AND(ISNUMBER(N135),N135&gt;0),MIN(1,512/N135),"")</f>
        <v/>
      </c>
      <c r="Q135" s="116">
        <f>IF(AND(ISNUMBER(O135),ISNUMBER(P135)),MIN(O135,P135),"")</f>
        <v/>
      </c>
      <c r="R135" s="117">
        <f>IF(AND(ISNUMBER(L135),ISNUMBER(Q135)),(L135-Q135)*100,"")</f>
        <v/>
      </c>
      <c r="S135" s="87" t="inlineStr">
        <is>
          <t>PASS</t>
        </is>
      </c>
      <c r="T135" t="inlineStr">
        <is>
          <t>本轮 model-main 9b3a4405 + 8参数(256KB ShareTReg) 2026-09-22</t>
        </is>
      </c>
    </row>
    <row r="136" ht="20" customHeight="1">
      <c r="A136" s="27" t="inlineStr">
        <is>
          <t>FP32</t>
        </is>
      </c>
      <c r="B136" s="28" t="n">
        <v>256</v>
      </c>
      <c r="C136" s="28" t="n">
        <v>128</v>
      </c>
      <c r="D136" s="28" t="n">
        <v>7168</v>
      </c>
      <c r="E136" s="28" t="n">
        <v>128</v>
      </c>
      <c r="F136" s="28" t="n">
        <v>128</v>
      </c>
      <c r="G136" s="28" t="n">
        <v>512</v>
      </c>
      <c r="H136" s="28" t="n">
        <v>256</v>
      </c>
      <c r="I136" s="28" t="n">
        <v>256</v>
      </c>
      <c r="J136" s="28" t="n">
        <v>512</v>
      </c>
      <c r="K136" s="115" t="inlineStr">
        <is>
          <t>—</t>
        </is>
      </c>
      <c r="L136" s="116" t="n"/>
      <c r="M136" s="117">
        <f>IF(OR(E136="",F136="",G136=""),"",((H136+I136)*1024)/(E136*F136*G136/2048))</f>
        <v/>
      </c>
      <c r="N136" s="117">
        <f>IF(OR(E136="",F136="",G136=""),"",(E136*F136*4)/(E136*F136*G136/2048))</f>
        <v/>
      </c>
      <c r="O136" s="116">
        <f>IF(AND(ISNUMBER(M136),M136&gt;0),MIN(1,128/M136),"")</f>
        <v/>
      </c>
      <c r="P136" s="116">
        <f>IF(AND(ISNUMBER(N136),N136&gt;0),MIN(1,512/N136),"")</f>
        <v/>
      </c>
      <c r="Q136" s="116">
        <f>IF(AND(ISNUMBER(O136),ISNUMBER(P136)),MIN(O136,P136),"")</f>
        <v/>
      </c>
      <c r="R136" s="117" t="n"/>
      <c r="S136" s="98" t="inlineStr">
        <is>
          <t>COMPILE_FAIL</t>
        </is>
      </c>
      <c r="T136" t="inlineStr">
        <is>
          <t>容量超限：完整 SharedTile 足迹 &gt; 256 KiB；本轮 model-main 9b3a4405 + 8参数(256KB ShareTReg) 2026-09-22</t>
        </is>
      </c>
    </row>
    <row r="137" ht="23" customHeight="1">
      <c r="A137" s="81" t="inlineStr">
        <is>
          <t>BF16</t>
        </is>
      </c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112" t="n"/>
      <c r="L137" s="113" t="n"/>
      <c r="M137" s="114" t="n"/>
      <c r="N137" s="114" t="n"/>
      <c r="O137" s="113" t="n"/>
      <c r="P137" s="113" t="n"/>
      <c r="Q137" s="113" t="n"/>
      <c r="R137" s="114" t="n"/>
      <c r="S137" s="86" t="n"/>
    </row>
    <row r="138" ht="20" customHeight="1">
      <c r="A138" s="33" t="inlineStr">
        <is>
          <t>BF16</t>
        </is>
      </c>
      <c r="B138" s="34" t="n">
        <v>256</v>
      </c>
      <c r="C138" s="34" t="n">
        <v>128</v>
      </c>
      <c r="D138" s="34" t="n">
        <v>7168</v>
      </c>
      <c r="E138" s="34" t="n">
        <v>128</v>
      </c>
      <c r="F138" s="34" t="n">
        <v>64</v>
      </c>
      <c r="G138" s="34" t="n">
        <v>64</v>
      </c>
      <c r="H138" s="34" t="n">
        <v>16</v>
      </c>
      <c r="I138" s="34" t="n">
        <v>8</v>
      </c>
      <c r="J138" s="34" t="n">
        <v>24</v>
      </c>
      <c r="K138" s="119" t="n">
        <v>153587</v>
      </c>
      <c r="L138" s="120" t="n"/>
      <c r="M138" s="121">
        <f>IF(OR(E138="",F138="",G138=""),"",((H138+I138)*1024)/(E138*F138*G138/4096))</f>
        <v/>
      </c>
      <c r="N138" s="121">
        <f>IF(OR(E138="",F138="",G138=""),"",(E138*F138*4)/(E138*F138*G138/4096))</f>
        <v/>
      </c>
      <c r="O138" s="120">
        <f>IF(AND(ISNUMBER(M138),M138&gt;0),MIN(1,128/M138),"")</f>
        <v/>
      </c>
      <c r="P138" s="120">
        <f>IF(AND(ISNUMBER(N138),N138&gt;0),MIN(1,512/N138),"")</f>
        <v/>
      </c>
      <c r="Q138" s="120">
        <f>IF(AND(ISNUMBER(O138),ISNUMBER(P138)),MIN(O138,P138),"")</f>
        <v/>
      </c>
      <c r="R138" s="121" t="n"/>
      <c r="S138" s="88" t="inlineStr">
        <is>
          <t>PASS</t>
        </is>
      </c>
      <c r="T138" t="inlineStr">
        <is>
          <t>本轮 model-main 9b3a4405 + 8参数(256KB ShareTReg) 2026-09-22</t>
        </is>
      </c>
    </row>
    <row r="139" ht="20" customHeight="1">
      <c r="A139" s="33" t="inlineStr">
        <is>
          <t>BF16</t>
        </is>
      </c>
      <c r="B139" s="34" t="n">
        <v>256</v>
      </c>
      <c r="C139" s="34" t="n">
        <v>128</v>
      </c>
      <c r="D139" s="34" t="n">
        <v>7168</v>
      </c>
      <c r="E139" s="34" t="n">
        <v>128</v>
      </c>
      <c r="F139" s="34" t="n">
        <v>64</v>
      </c>
      <c r="G139" s="34" t="n">
        <v>128</v>
      </c>
      <c r="H139" s="34" t="n">
        <v>32</v>
      </c>
      <c r="I139" s="34" t="n">
        <v>16</v>
      </c>
      <c r="J139" s="34" t="n">
        <v>48</v>
      </c>
      <c r="K139" s="119" t="n">
        <v>154010</v>
      </c>
      <c r="L139" s="120">
        <f>ROUND(B139*C139*D139/4096/K139*100,1)/100</f>
        <v/>
      </c>
      <c r="M139" s="121">
        <f>IF(OR(E139="",F139="",G139=""),"",((H139+I139)*1024)/(E139*F139*G139/4096))</f>
        <v/>
      </c>
      <c r="N139" s="121">
        <f>IF(OR(E139="",F139="",G139=""),"",(E139*F139*4)/(E139*F139*G139/4096))</f>
        <v/>
      </c>
      <c r="O139" s="120">
        <f>IF(AND(ISNUMBER(M139),M139&gt;0),MIN(1,128/M139),"")</f>
        <v/>
      </c>
      <c r="P139" s="120">
        <f>IF(AND(ISNUMBER(N139),N139&gt;0),MIN(1,512/N139),"")</f>
        <v/>
      </c>
      <c r="Q139" s="120">
        <f>IF(AND(ISNUMBER(O139),ISNUMBER(P139)),MIN(O139,P139),"")</f>
        <v/>
      </c>
      <c r="R139" s="121">
        <f>IF(AND(ISNUMBER(L139),ISNUMBER(Q139)),(L139-Q139)*100,"")</f>
        <v/>
      </c>
      <c r="S139" s="89" t="inlineStr">
        <is>
          <t>PASS</t>
        </is>
      </c>
      <c r="T139" t="inlineStr">
        <is>
          <t>本轮 model-main 9b3a4405 + 8参数(256KB ShareTReg) 2026-09-22</t>
        </is>
      </c>
    </row>
    <row r="140" ht="20" customHeight="1">
      <c r="A140" s="33" t="inlineStr">
        <is>
          <t>BF16</t>
        </is>
      </c>
      <c r="B140" s="34" t="n">
        <v>256</v>
      </c>
      <c r="C140" s="34" t="n">
        <v>128</v>
      </c>
      <c r="D140" s="34" t="n">
        <v>7168</v>
      </c>
      <c r="E140" s="34" t="n">
        <v>128</v>
      </c>
      <c r="F140" s="34" t="n">
        <v>64</v>
      </c>
      <c r="G140" s="34" t="n">
        <v>256</v>
      </c>
      <c r="H140" s="34" t="n">
        <v>64</v>
      </c>
      <c r="I140" s="34" t="n">
        <v>32</v>
      </c>
      <c r="J140" s="34" t="n">
        <v>96</v>
      </c>
      <c r="K140" s="119" t="n">
        <v>154452</v>
      </c>
      <c r="L140" s="120">
        <f>ROUND(B140*C140*D140/4096/K140*100,1)/100</f>
        <v/>
      </c>
      <c r="M140" s="121">
        <f>IF(OR(E140="",F140="",G140=""),"",((H140+I140)*1024)/(E140*F140*G140/4096))</f>
        <v/>
      </c>
      <c r="N140" s="121">
        <f>IF(OR(E140="",F140="",G140=""),"",(E140*F140*4)/(E140*F140*G140/4096))</f>
        <v/>
      </c>
      <c r="O140" s="120">
        <f>IF(AND(ISNUMBER(M140),M140&gt;0),MIN(1,128/M140),"")</f>
        <v/>
      </c>
      <c r="P140" s="120">
        <f>IF(AND(ISNUMBER(N140),N140&gt;0),MIN(1,512/N140),"")</f>
        <v/>
      </c>
      <c r="Q140" s="120">
        <f>IF(AND(ISNUMBER(O140),ISNUMBER(P140)),MIN(O140,P140),"")</f>
        <v/>
      </c>
      <c r="R140" s="121">
        <f>IF(AND(ISNUMBER(L140),ISNUMBER(Q140)),(L140-Q140)*100,"")</f>
        <v/>
      </c>
      <c r="S140" s="89" t="inlineStr">
        <is>
          <t>PASS</t>
        </is>
      </c>
      <c r="T140" t="inlineStr">
        <is>
          <t>本轮 model-main 9b3a4405 + 8参数(256KB ShareTReg) 2026-09-22</t>
        </is>
      </c>
    </row>
    <row r="141" ht="20" customHeight="1">
      <c r="A141" s="33" t="inlineStr">
        <is>
          <t>BF16</t>
        </is>
      </c>
      <c r="B141" s="34" t="n">
        <v>256</v>
      </c>
      <c r="C141" s="34" t="n">
        <v>128</v>
      </c>
      <c r="D141" s="34" t="n">
        <v>7168</v>
      </c>
      <c r="E141" s="34" t="n">
        <v>128</v>
      </c>
      <c r="F141" s="34" t="n">
        <v>64</v>
      </c>
      <c r="G141" s="34" t="n">
        <v>512</v>
      </c>
      <c r="H141" s="34" t="n">
        <v>128</v>
      </c>
      <c r="I141" s="34" t="n">
        <v>64</v>
      </c>
      <c r="J141" s="34" t="n">
        <v>192</v>
      </c>
      <c r="K141" s="119" t="n">
        <v>290484</v>
      </c>
      <c r="L141" s="120">
        <f>ROUND(B141*C141*D141/4096/K141*100,1)/100</f>
        <v/>
      </c>
      <c r="M141" s="121">
        <f>IF(OR(E141="",F141="",G141=""),"",((H141+I141)*1024)/(E141*F141*G141/4096))</f>
        <v/>
      </c>
      <c r="N141" s="121">
        <f>IF(OR(E141="",F141="",G141=""),"",(E141*F141*4)/(E141*F141*G141/4096))</f>
        <v/>
      </c>
      <c r="O141" s="120">
        <f>IF(AND(ISNUMBER(M141),M141&gt;0),MIN(1,128/M141),"")</f>
        <v/>
      </c>
      <c r="P141" s="120">
        <f>IF(AND(ISNUMBER(N141),N141&gt;0),MIN(1,512/N141),"")</f>
        <v/>
      </c>
      <c r="Q141" s="120">
        <f>IF(AND(ISNUMBER(O141),ISNUMBER(P141)),MIN(O141,P141),"")</f>
        <v/>
      </c>
      <c r="R141" s="121">
        <f>IF(AND(ISNUMBER(L141),ISNUMBER(Q141)),(L141-Q141)*100,"")</f>
        <v/>
      </c>
      <c r="S141" s="89" t="inlineStr">
        <is>
          <t>PASS</t>
        </is>
      </c>
      <c r="T141" t="inlineStr">
        <is>
          <t>本轮 model-main 9b3a4405 + 8参数(256KB ShareTReg) 2026-09-22</t>
        </is>
      </c>
    </row>
    <row r="142" ht="20" customHeight="1">
      <c r="A142" s="33" t="inlineStr">
        <is>
          <t>BF16</t>
        </is>
      </c>
      <c r="B142" s="34" t="n">
        <v>256</v>
      </c>
      <c r="C142" s="34" t="n">
        <v>128</v>
      </c>
      <c r="D142" s="34" t="n">
        <v>7168</v>
      </c>
      <c r="E142" s="34" t="n">
        <v>128</v>
      </c>
      <c r="F142" s="34" t="n">
        <v>128</v>
      </c>
      <c r="G142" s="34" t="n">
        <v>64</v>
      </c>
      <c r="H142" s="34" t="n">
        <v>16</v>
      </c>
      <c r="I142" s="34" t="n">
        <v>16</v>
      </c>
      <c r="J142" s="34" t="n">
        <v>32</v>
      </c>
      <c r="K142" s="119" t="n">
        <v>103219</v>
      </c>
      <c r="L142" s="120">
        <f>ROUND(B142*C142*D142/4096/K142*100,1)/100</f>
        <v/>
      </c>
      <c r="M142" s="121">
        <f>IF(OR(E142="",F142="",G142=""),"",((H142+I142)*1024)/(E142*F142*G142/4096))</f>
        <v/>
      </c>
      <c r="N142" s="121">
        <f>IF(OR(E142="",F142="",G142=""),"",(E142*F142*4)/(E142*F142*G142/4096))</f>
        <v/>
      </c>
      <c r="O142" s="120">
        <f>IF(AND(ISNUMBER(M142),M142&gt;0),MIN(1,128/M142),"")</f>
        <v/>
      </c>
      <c r="P142" s="120">
        <f>IF(AND(ISNUMBER(N142),N142&gt;0),MIN(1,512/N142),"")</f>
        <v/>
      </c>
      <c r="Q142" s="120">
        <f>IF(AND(ISNUMBER(O142),ISNUMBER(P142)),MIN(O142,P142),"")</f>
        <v/>
      </c>
      <c r="R142" s="121">
        <f>IF(AND(ISNUMBER(L142),ISNUMBER(Q142)),(L142-Q142)*100,"")</f>
        <v/>
      </c>
      <c r="S142" s="89" t="inlineStr">
        <is>
          <t>PASS</t>
        </is>
      </c>
      <c r="T142" t="inlineStr">
        <is>
          <t>本轮 model-main 9b3a4405 + 8参数(256KB ShareTReg) 2026-09-22</t>
        </is>
      </c>
    </row>
    <row r="143" ht="20" customHeight="1">
      <c r="A143" s="33" t="inlineStr">
        <is>
          <t>BF16</t>
        </is>
      </c>
      <c r="B143" s="34" t="n">
        <v>256</v>
      </c>
      <c r="C143" s="34" t="n">
        <v>128</v>
      </c>
      <c r="D143" s="34" t="n">
        <v>7168</v>
      </c>
      <c r="E143" s="102" t="n">
        <v>128</v>
      </c>
      <c r="F143" s="102" t="n">
        <v>128</v>
      </c>
      <c r="G143" s="102" t="n">
        <v>128</v>
      </c>
      <c r="H143" s="34" t="n">
        <v>32</v>
      </c>
      <c r="I143" s="34" t="n">
        <v>32</v>
      </c>
      <c r="J143" s="34" t="n">
        <v>64</v>
      </c>
      <c r="K143" s="119" t="n">
        <v>103587</v>
      </c>
      <c r="L143" s="118">
        <f>ROUND(B143*C143*D143/4096/K143*100,1)/100</f>
        <v/>
      </c>
      <c r="M143" s="121">
        <f>IF(OR(E143="",F143="",G143=""),"",((H143+I143)*1024)/(E143*F143*G143/4096))</f>
        <v/>
      </c>
      <c r="N143" s="121">
        <f>IF(OR(E143="",F143="",G143=""),"",(E143*F143*4)/(E143*F143*G143/4096))</f>
        <v/>
      </c>
      <c r="O143" s="120">
        <f>IF(AND(ISNUMBER(M143),M143&gt;0),MIN(1,128/M143),"")</f>
        <v/>
      </c>
      <c r="P143" s="120">
        <f>IF(AND(ISNUMBER(N143),N143&gt;0),MIN(1,512/N143),"")</f>
        <v/>
      </c>
      <c r="Q143" s="120">
        <f>IF(AND(ISNUMBER(O143),ISNUMBER(P143)),MIN(O143,P143),"")</f>
        <v/>
      </c>
      <c r="R143" s="121">
        <f>IF(AND(ISNUMBER(L143),ISNUMBER(Q143)),(L143-Q143)*100,"")</f>
        <v/>
      </c>
      <c r="S143" s="89" t="inlineStr">
        <is>
          <t>PASS</t>
        </is>
      </c>
      <c r="T143" t="inlineStr">
        <is>
          <t>本轮 model-main 9b3a4405 + 8参数(256KB ShareTReg) 2026-09-22</t>
        </is>
      </c>
    </row>
    <row r="144" ht="20" customHeight="1">
      <c r="A144" s="33" t="inlineStr">
        <is>
          <t>BF16</t>
        </is>
      </c>
      <c r="B144" s="34" t="n">
        <v>256</v>
      </c>
      <c r="C144" s="34" t="n">
        <v>128</v>
      </c>
      <c r="D144" s="34" t="n">
        <v>7168</v>
      </c>
      <c r="E144" s="34" t="n">
        <v>128</v>
      </c>
      <c r="F144" s="34" t="n">
        <v>128</v>
      </c>
      <c r="G144" s="34" t="n">
        <v>256</v>
      </c>
      <c r="H144" s="34" t="n">
        <v>64</v>
      </c>
      <c r="I144" s="34" t="n">
        <v>64</v>
      </c>
      <c r="J144" s="34" t="n">
        <v>128</v>
      </c>
      <c r="K144" s="119" t="n">
        <v>105683</v>
      </c>
      <c r="L144" s="120">
        <f>ROUND(B144*C144*D144/4096/K144*100,1)/100</f>
        <v/>
      </c>
      <c r="M144" s="121">
        <f>IF(OR(E144="",F144="",G144=""),"",((H144+I144)*1024)/(E144*F144*G144/4096))</f>
        <v/>
      </c>
      <c r="N144" s="121">
        <f>IF(OR(E144="",F144="",G144=""),"",(E144*F144*4)/(E144*F144*G144/4096))</f>
        <v/>
      </c>
      <c r="O144" s="120">
        <f>IF(AND(ISNUMBER(M144),M144&gt;0),MIN(1,128/M144),"")</f>
        <v/>
      </c>
      <c r="P144" s="120">
        <f>IF(AND(ISNUMBER(N144),N144&gt;0),MIN(1,512/N144),"")</f>
        <v/>
      </c>
      <c r="Q144" s="120">
        <f>IF(AND(ISNUMBER(O144),ISNUMBER(P144)),MIN(O144,P144),"")</f>
        <v/>
      </c>
      <c r="R144" s="121">
        <f>IF(AND(ISNUMBER(L144),ISNUMBER(Q144)),(L144-Q144)*100,"")</f>
        <v/>
      </c>
      <c r="S144" s="89" t="inlineStr">
        <is>
          <t>PASS</t>
        </is>
      </c>
      <c r="T144" t="inlineStr">
        <is>
          <t>本轮 model-main 9b3a4405 + 8参数(256KB ShareTReg) 2026-09-22</t>
        </is>
      </c>
    </row>
    <row r="145" ht="20" customHeight="1">
      <c r="A145" s="33" t="inlineStr">
        <is>
          <t>BF16</t>
        </is>
      </c>
      <c r="B145" s="34" t="n">
        <v>256</v>
      </c>
      <c r="C145" s="34" t="n">
        <v>128</v>
      </c>
      <c r="D145" s="34" t="n">
        <v>7168</v>
      </c>
      <c r="E145" s="34" t="n">
        <v>128</v>
      </c>
      <c r="F145" s="34" t="n">
        <v>128</v>
      </c>
      <c r="G145" s="34" t="n">
        <v>512</v>
      </c>
      <c r="H145" s="34" t="n">
        <v>128</v>
      </c>
      <c r="I145" s="34" t="n">
        <v>128</v>
      </c>
      <c r="J145" s="34" t="n">
        <v>256</v>
      </c>
      <c r="K145" s="119" t="n">
        <v>199692</v>
      </c>
      <c r="L145" s="120">
        <f>ROUND(B145*C145*D145/4096/K145*100,1)/100</f>
        <v/>
      </c>
      <c r="M145" s="121">
        <f>IF(OR(E145="",F145="",G145=""),"",((H145+I145)*1024)/(E145*F145*G145/4096))</f>
        <v/>
      </c>
      <c r="N145" s="121">
        <f>IF(OR(E145="",F145="",G145=""),"",(E145*F145*4)/(E145*F145*G145/4096))</f>
        <v/>
      </c>
      <c r="O145" s="120">
        <f>IF(AND(ISNUMBER(M145),M145&gt;0),MIN(1,128/M145),"")</f>
        <v/>
      </c>
      <c r="P145" s="120">
        <f>IF(AND(ISNUMBER(N145),N145&gt;0),MIN(1,512/N145),"")</f>
        <v/>
      </c>
      <c r="Q145" s="120">
        <f>IF(AND(ISNUMBER(O145),ISNUMBER(P145)),MIN(O145,P145),"")</f>
        <v/>
      </c>
      <c r="R145" s="121">
        <f>IF(AND(ISNUMBER(L145),ISNUMBER(Q145)),(L145-Q145)*100,"")</f>
        <v/>
      </c>
      <c r="S145" s="89" t="inlineStr">
        <is>
          <t>PASS</t>
        </is>
      </c>
      <c r="T145" t="inlineStr">
        <is>
          <t>本轮 model-main 9b3a4405 + 8参数(256KB ShareTReg) 2026-09-22</t>
        </is>
      </c>
    </row>
    <row r="146" ht="23" customHeight="1">
      <c r="A146" s="81" t="inlineStr">
        <is>
          <t>FP16</t>
        </is>
      </c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112" t="n"/>
      <c r="L146" s="113" t="n"/>
      <c r="M146" s="114" t="n"/>
      <c r="N146" s="114" t="n"/>
      <c r="O146" s="113" t="n"/>
      <c r="P146" s="113" t="n"/>
      <c r="Q146" s="113" t="n"/>
      <c r="R146" s="114" t="n"/>
      <c r="S146" s="86" t="n"/>
    </row>
    <row r="147" ht="20" customHeight="1">
      <c r="A147" s="39" t="inlineStr">
        <is>
          <t>FP16</t>
        </is>
      </c>
      <c r="B147" s="40" t="n">
        <v>256</v>
      </c>
      <c r="C147" s="40" t="n">
        <v>128</v>
      </c>
      <c r="D147" s="40" t="n">
        <v>7168</v>
      </c>
      <c r="E147" s="40" t="n">
        <v>128</v>
      </c>
      <c r="F147" s="40" t="n">
        <v>64</v>
      </c>
      <c r="G147" s="40" t="n">
        <v>64</v>
      </c>
      <c r="H147" s="40" t="n">
        <v>16</v>
      </c>
      <c r="I147" s="40" t="n">
        <v>8</v>
      </c>
      <c r="J147" s="40" t="n">
        <v>24</v>
      </c>
      <c r="K147" s="122" t="n">
        <v>153587</v>
      </c>
      <c r="L147" s="123" t="n"/>
      <c r="M147" s="124">
        <f>IF(OR(E147="",F147="",G147=""),"",((H147+I147)*1024)/(E147*F147*G147/4096))</f>
        <v/>
      </c>
      <c r="N147" s="124">
        <f>IF(OR(E147="",F147="",G147=""),"",(E147*F147*4)/(E147*F147*G147/4096))</f>
        <v/>
      </c>
      <c r="O147" s="123">
        <f>IF(AND(ISNUMBER(M147),M147&gt;0),MIN(1,128/M147),"")</f>
        <v/>
      </c>
      <c r="P147" s="123">
        <f>IF(AND(ISNUMBER(N147),N147&gt;0),MIN(1,512/N147),"")</f>
        <v/>
      </c>
      <c r="Q147" s="123">
        <f>IF(AND(ISNUMBER(O147),ISNUMBER(P147)),MIN(O147,P147),"")</f>
        <v/>
      </c>
      <c r="R147" s="124" t="n"/>
      <c r="S147" s="90" t="inlineStr">
        <is>
          <t>PASS</t>
        </is>
      </c>
      <c r="T147" t="inlineStr">
        <is>
          <t>本轮 model-main 9b3a4405 + 8参数(256KB ShareTReg) 2026-09-22</t>
        </is>
      </c>
    </row>
    <row r="148" ht="20" customHeight="1">
      <c r="A148" s="39" t="inlineStr">
        <is>
          <t>FP16</t>
        </is>
      </c>
      <c r="B148" s="40" t="n">
        <v>256</v>
      </c>
      <c r="C148" s="40" t="n">
        <v>128</v>
      </c>
      <c r="D148" s="40" t="n">
        <v>7168</v>
      </c>
      <c r="E148" s="40" t="n">
        <v>128</v>
      </c>
      <c r="F148" s="40" t="n">
        <v>64</v>
      </c>
      <c r="G148" s="40" t="n">
        <v>128</v>
      </c>
      <c r="H148" s="40" t="n">
        <v>32</v>
      </c>
      <c r="I148" s="40" t="n">
        <v>16</v>
      </c>
      <c r="J148" s="40" t="n">
        <v>48</v>
      </c>
      <c r="K148" s="122" t="n">
        <v>154010</v>
      </c>
      <c r="L148" s="123">
        <f>ROUND(B148*C148*D148/4096/K148*100,1)/100</f>
        <v/>
      </c>
      <c r="M148" s="124">
        <f>IF(OR(E148="",F148="",G148=""),"",((H148+I148)*1024)/(E148*F148*G148/4096))</f>
        <v/>
      </c>
      <c r="N148" s="124">
        <f>IF(OR(E148="",F148="",G148=""),"",(E148*F148*4)/(E148*F148*G148/4096))</f>
        <v/>
      </c>
      <c r="O148" s="123">
        <f>IF(AND(ISNUMBER(M148),M148&gt;0),MIN(1,128/M148),"")</f>
        <v/>
      </c>
      <c r="P148" s="123">
        <f>IF(AND(ISNUMBER(N148),N148&gt;0),MIN(1,512/N148),"")</f>
        <v/>
      </c>
      <c r="Q148" s="123">
        <f>IF(AND(ISNUMBER(O148),ISNUMBER(P148)),MIN(O148,P148),"")</f>
        <v/>
      </c>
      <c r="R148" s="124">
        <f>IF(AND(ISNUMBER(L148),ISNUMBER(Q148)),(L148-Q148)*100,"")</f>
        <v/>
      </c>
      <c r="S148" s="91" t="inlineStr">
        <is>
          <t>PASS</t>
        </is>
      </c>
      <c r="T148" t="inlineStr">
        <is>
          <t>本轮 model-main 9b3a4405 + 8参数(256KB ShareTReg) 2026-09-22</t>
        </is>
      </c>
    </row>
    <row r="149" ht="20" customHeight="1">
      <c r="A149" s="39" t="inlineStr">
        <is>
          <t>FP16</t>
        </is>
      </c>
      <c r="B149" s="40" t="n">
        <v>256</v>
      </c>
      <c r="C149" s="40" t="n">
        <v>128</v>
      </c>
      <c r="D149" s="40" t="n">
        <v>7168</v>
      </c>
      <c r="E149" s="40" t="n">
        <v>128</v>
      </c>
      <c r="F149" s="40" t="n">
        <v>64</v>
      </c>
      <c r="G149" s="40" t="n">
        <v>256</v>
      </c>
      <c r="H149" s="40" t="n">
        <v>64</v>
      </c>
      <c r="I149" s="40" t="n">
        <v>32</v>
      </c>
      <c r="J149" s="40" t="n">
        <v>96</v>
      </c>
      <c r="K149" s="122" t="n">
        <v>154452</v>
      </c>
      <c r="L149" s="123">
        <f>ROUND(B149*C149*D149/4096/K149*100,1)/100</f>
        <v/>
      </c>
      <c r="M149" s="124">
        <f>IF(OR(E149="",F149="",G149=""),"",((H149+I149)*1024)/(E149*F149*G149/4096))</f>
        <v/>
      </c>
      <c r="N149" s="124">
        <f>IF(OR(E149="",F149="",G149=""),"",(E149*F149*4)/(E149*F149*G149/4096))</f>
        <v/>
      </c>
      <c r="O149" s="123">
        <f>IF(AND(ISNUMBER(M149),M149&gt;0),MIN(1,128/M149),"")</f>
        <v/>
      </c>
      <c r="P149" s="123">
        <f>IF(AND(ISNUMBER(N149),N149&gt;0),MIN(1,512/N149),"")</f>
        <v/>
      </c>
      <c r="Q149" s="123">
        <f>IF(AND(ISNUMBER(O149),ISNUMBER(P149)),MIN(O149,P149),"")</f>
        <v/>
      </c>
      <c r="R149" s="124">
        <f>IF(AND(ISNUMBER(L149),ISNUMBER(Q149)),(L149-Q149)*100,"")</f>
        <v/>
      </c>
      <c r="S149" s="91" t="inlineStr">
        <is>
          <t>PASS</t>
        </is>
      </c>
      <c r="T149" t="inlineStr">
        <is>
          <t>本轮 model-main 9b3a4405 + 8参数(256KB ShareTReg) 2026-09-22</t>
        </is>
      </c>
    </row>
    <row r="150" ht="20" customHeight="1">
      <c r="A150" s="39" t="inlineStr">
        <is>
          <t>FP16</t>
        </is>
      </c>
      <c r="B150" s="40" t="n">
        <v>256</v>
      </c>
      <c r="C150" s="40" t="n">
        <v>128</v>
      </c>
      <c r="D150" s="40" t="n">
        <v>7168</v>
      </c>
      <c r="E150" s="40" t="n">
        <v>128</v>
      </c>
      <c r="F150" s="40" t="n">
        <v>64</v>
      </c>
      <c r="G150" s="40" t="n">
        <v>512</v>
      </c>
      <c r="H150" s="40" t="n">
        <v>128</v>
      </c>
      <c r="I150" s="40" t="n">
        <v>64</v>
      </c>
      <c r="J150" s="40" t="n">
        <v>192</v>
      </c>
      <c r="K150" s="122" t="n">
        <v>290484</v>
      </c>
      <c r="L150" s="123">
        <f>ROUND(B150*C150*D150/4096/K150*100,1)/100</f>
        <v/>
      </c>
      <c r="M150" s="124">
        <f>IF(OR(E150="",F150="",G150=""),"",((H150+I150)*1024)/(E150*F150*G150/4096))</f>
        <v/>
      </c>
      <c r="N150" s="124">
        <f>IF(OR(E150="",F150="",G150=""),"",(E150*F150*4)/(E150*F150*G150/4096))</f>
        <v/>
      </c>
      <c r="O150" s="123">
        <f>IF(AND(ISNUMBER(M150),M150&gt;0),MIN(1,128/M150),"")</f>
        <v/>
      </c>
      <c r="P150" s="123">
        <f>IF(AND(ISNUMBER(N150),N150&gt;0),MIN(1,512/N150),"")</f>
        <v/>
      </c>
      <c r="Q150" s="123">
        <f>IF(AND(ISNUMBER(O150),ISNUMBER(P150)),MIN(O150,P150),"")</f>
        <v/>
      </c>
      <c r="R150" s="124">
        <f>IF(AND(ISNUMBER(L150),ISNUMBER(Q150)),(L150-Q150)*100,"")</f>
        <v/>
      </c>
      <c r="S150" s="91" t="inlineStr">
        <is>
          <t>PASS</t>
        </is>
      </c>
      <c r="T150" t="inlineStr">
        <is>
          <t>本轮 model-main 9b3a4405 + 8参数(256KB ShareTReg) 2026-09-22</t>
        </is>
      </c>
    </row>
    <row r="151" ht="20" customHeight="1">
      <c r="A151" s="39" t="inlineStr">
        <is>
          <t>FP16</t>
        </is>
      </c>
      <c r="B151" s="40" t="n">
        <v>256</v>
      </c>
      <c r="C151" s="40" t="n">
        <v>128</v>
      </c>
      <c r="D151" s="40" t="n">
        <v>7168</v>
      </c>
      <c r="E151" s="40" t="n">
        <v>128</v>
      </c>
      <c r="F151" s="40" t="n">
        <v>128</v>
      </c>
      <c r="G151" s="40" t="n">
        <v>64</v>
      </c>
      <c r="H151" s="40" t="n">
        <v>16</v>
      </c>
      <c r="I151" s="40" t="n">
        <v>16</v>
      </c>
      <c r="J151" s="40" t="n">
        <v>32</v>
      </c>
      <c r="K151" s="122" t="n">
        <v>103219</v>
      </c>
      <c r="L151" s="123">
        <f>ROUND(B151*C151*D151/4096/K151*100,1)/100</f>
        <v/>
      </c>
      <c r="M151" s="124">
        <f>IF(OR(E151="",F151="",G151=""),"",((H151+I151)*1024)/(E151*F151*G151/4096))</f>
        <v/>
      </c>
      <c r="N151" s="124">
        <f>IF(OR(E151="",F151="",G151=""),"",(E151*F151*4)/(E151*F151*G151/4096))</f>
        <v/>
      </c>
      <c r="O151" s="123">
        <f>IF(AND(ISNUMBER(M151),M151&gt;0),MIN(1,128/M151),"")</f>
        <v/>
      </c>
      <c r="P151" s="123">
        <f>IF(AND(ISNUMBER(N151),N151&gt;0),MIN(1,512/N151),"")</f>
        <v/>
      </c>
      <c r="Q151" s="123">
        <f>IF(AND(ISNUMBER(O151),ISNUMBER(P151)),MIN(O151,P151),"")</f>
        <v/>
      </c>
      <c r="R151" s="124">
        <f>IF(AND(ISNUMBER(L151),ISNUMBER(Q151)),(L151-Q151)*100,"")</f>
        <v/>
      </c>
      <c r="S151" s="91" t="inlineStr">
        <is>
          <t>PASS</t>
        </is>
      </c>
      <c r="T151" t="inlineStr">
        <is>
          <t>本轮 model-main 9b3a4405 + 8参数(256KB ShareTReg) 2026-09-22</t>
        </is>
      </c>
    </row>
    <row r="152" ht="20" customHeight="1">
      <c r="A152" s="39" t="inlineStr">
        <is>
          <t>FP16</t>
        </is>
      </c>
      <c r="B152" s="40" t="n">
        <v>256</v>
      </c>
      <c r="C152" s="40" t="n">
        <v>128</v>
      </c>
      <c r="D152" s="40" t="n">
        <v>7168</v>
      </c>
      <c r="E152" s="103" t="n">
        <v>128</v>
      </c>
      <c r="F152" s="103" t="n">
        <v>128</v>
      </c>
      <c r="G152" s="103" t="n">
        <v>128</v>
      </c>
      <c r="H152" s="40" t="n">
        <v>32</v>
      </c>
      <c r="I152" s="40" t="n">
        <v>32</v>
      </c>
      <c r="J152" s="40" t="n">
        <v>64</v>
      </c>
      <c r="K152" s="122" t="n">
        <v>103587</v>
      </c>
      <c r="L152" s="118">
        <f>ROUND(B152*C152*D152/4096/K152*100,1)/100</f>
        <v/>
      </c>
      <c r="M152" s="124">
        <f>IF(OR(E152="",F152="",G152=""),"",((H152+I152)*1024)/(E152*F152*G152/4096))</f>
        <v/>
      </c>
      <c r="N152" s="124">
        <f>IF(OR(E152="",F152="",G152=""),"",(E152*F152*4)/(E152*F152*G152/4096))</f>
        <v/>
      </c>
      <c r="O152" s="123">
        <f>IF(AND(ISNUMBER(M152),M152&gt;0),MIN(1,128/M152),"")</f>
        <v/>
      </c>
      <c r="P152" s="123">
        <f>IF(AND(ISNUMBER(N152),N152&gt;0),MIN(1,512/N152),"")</f>
        <v/>
      </c>
      <c r="Q152" s="123">
        <f>IF(AND(ISNUMBER(O152),ISNUMBER(P152)),MIN(O152,P152),"")</f>
        <v/>
      </c>
      <c r="R152" s="124">
        <f>IF(AND(ISNUMBER(L152),ISNUMBER(Q152)),(L152-Q152)*100,"")</f>
        <v/>
      </c>
      <c r="S152" s="91" t="inlineStr">
        <is>
          <t>PASS</t>
        </is>
      </c>
      <c r="T152" t="inlineStr">
        <is>
          <t>本轮 model-main 9b3a4405 + 8参数(256KB ShareTReg) 2026-09-22</t>
        </is>
      </c>
    </row>
    <row r="153" ht="20" customHeight="1">
      <c r="A153" s="39" t="inlineStr">
        <is>
          <t>FP16</t>
        </is>
      </c>
      <c r="B153" s="40" t="n">
        <v>256</v>
      </c>
      <c r="C153" s="40" t="n">
        <v>128</v>
      </c>
      <c r="D153" s="40" t="n">
        <v>7168</v>
      </c>
      <c r="E153" s="40" t="n">
        <v>128</v>
      </c>
      <c r="F153" s="40" t="n">
        <v>128</v>
      </c>
      <c r="G153" s="40" t="n">
        <v>256</v>
      </c>
      <c r="H153" s="40" t="n">
        <v>64</v>
      </c>
      <c r="I153" s="40" t="n">
        <v>64</v>
      </c>
      <c r="J153" s="40" t="n">
        <v>128</v>
      </c>
      <c r="K153" s="122" t="n">
        <v>105683</v>
      </c>
      <c r="L153" s="123">
        <f>ROUND(B153*C153*D153/4096/K153*100,1)/100</f>
        <v/>
      </c>
      <c r="M153" s="124">
        <f>IF(OR(E153="",F153="",G153=""),"",((H153+I153)*1024)/(E153*F153*G153/4096))</f>
        <v/>
      </c>
      <c r="N153" s="124">
        <f>IF(OR(E153="",F153="",G153=""),"",(E153*F153*4)/(E153*F153*G153/4096))</f>
        <v/>
      </c>
      <c r="O153" s="123">
        <f>IF(AND(ISNUMBER(M153),M153&gt;0),MIN(1,128/M153),"")</f>
        <v/>
      </c>
      <c r="P153" s="123">
        <f>IF(AND(ISNUMBER(N153),N153&gt;0),MIN(1,512/N153),"")</f>
        <v/>
      </c>
      <c r="Q153" s="123">
        <f>IF(AND(ISNUMBER(O153),ISNUMBER(P153)),MIN(O153,P153),"")</f>
        <v/>
      </c>
      <c r="R153" s="124">
        <f>IF(AND(ISNUMBER(L153),ISNUMBER(Q153)),(L153-Q153)*100,"")</f>
        <v/>
      </c>
      <c r="S153" s="91" t="inlineStr">
        <is>
          <t>PASS</t>
        </is>
      </c>
      <c r="T153" t="inlineStr">
        <is>
          <t>本轮 model-main 9b3a4405 + 8参数(256KB ShareTReg) 2026-09-22</t>
        </is>
      </c>
    </row>
    <row r="154" ht="20" customHeight="1">
      <c r="A154" s="39" t="inlineStr">
        <is>
          <t>FP16</t>
        </is>
      </c>
      <c r="B154" s="40" t="n">
        <v>256</v>
      </c>
      <c r="C154" s="40" t="n">
        <v>128</v>
      </c>
      <c r="D154" s="40" t="n">
        <v>7168</v>
      </c>
      <c r="E154" s="40" t="n">
        <v>128</v>
      </c>
      <c r="F154" s="40" t="n">
        <v>128</v>
      </c>
      <c r="G154" s="40" t="n">
        <v>512</v>
      </c>
      <c r="H154" s="40" t="n">
        <v>128</v>
      </c>
      <c r="I154" s="40" t="n">
        <v>128</v>
      </c>
      <c r="J154" s="40" t="n">
        <v>256</v>
      </c>
      <c r="K154" s="122" t="n">
        <v>199692</v>
      </c>
      <c r="L154" s="123">
        <f>ROUND(B154*C154*D154/4096/K154*100,1)/100</f>
        <v/>
      </c>
      <c r="M154" s="124">
        <f>IF(OR(E154="",F154="",G154=""),"",((H154+I154)*1024)/(E154*F154*G154/4096))</f>
        <v/>
      </c>
      <c r="N154" s="124">
        <f>IF(OR(E154="",F154="",G154=""),"",(E154*F154*4)/(E154*F154*G154/4096))</f>
        <v/>
      </c>
      <c r="O154" s="123">
        <f>IF(AND(ISNUMBER(M154),M154&gt;0),MIN(1,128/M154),"")</f>
        <v/>
      </c>
      <c r="P154" s="123">
        <f>IF(AND(ISNUMBER(N154),N154&gt;0),MIN(1,512/N154),"")</f>
        <v/>
      </c>
      <c r="Q154" s="123">
        <f>IF(AND(ISNUMBER(O154),ISNUMBER(P154)),MIN(O154,P154),"")</f>
        <v/>
      </c>
      <c r="R154" s="124">
        <f>IF(AND(ISNUMBER(L154),ISNUMBER(Q154)),(L154-Q154)*100,"")</f>
        <v/>
      </c>
      <c r="S154" s="91" t="inlineStr">
        <is>
          <t>PASS</t>
        </is>
      </c>
      <c r="T154" t="inlineStr">
        <is>
          <t>本轮 model-main 9b3a4405 + 8参数(256KB ShareTReg) 2026-09-22</t>
        </is>
      </c>
    </row>
    <row r="155" ht="23" customHeight="1">
      <c r="A155" s="81" t="inlineStr">
        <is>
          <t>FP8</t>
        </is>
      </c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112" t="n"/>
      <c r="L155" s="113" t="n"/>
      <c r="M155" s="114" t="n"/>
      <c r="N155" s="114" t="n"/>
      <c r="O155" s="113" t="n"/>
      <c r="P155" s="113" t="n"/>
      <c r="Q155" s="113" t="n"/>
      <c r="R155" s="114" t="n"/>
      <c r="S155" s="86" t="n"/>
    </row>
    <row r="156" ht="20" customHeight="1">
      <c r="A156" s="45" t="inlineStr">
        <is>
          <t>FP8</t>
        </is>
      </c>
      <c r="B156" s="46" t="n">
        <v>256</v>
      </c>
      <c r="C156" s="46" t="n">
        <v>128</v>
      </c>
      <c r="D156" s="46" t="n">
        <v>7168</v>
      </c>
      <c r="E156" s="46" t="n">
        <v>128</v>
      </c>
      <c r="F156" s="46" t="n">
        <v>64</v>
      </c>
      <c r="G156" s="46" t="n">
        <v>256</v>
      </c>
      <c r="H156" s="46" t="n">
        <v>32</v>
      </c>
      <c r="I156" s="46" t="n">
        <v>16</v>
      </c>
      <c r="J156" s="46" t="n">
        <v>48</v>
      </c>
      <c r="K156" s="125" t="n">
        <v>78588</v>
      </c>
      <c r="L156" s="126">
        <f>ROUND(B156*C156*D156/8192/K156*100,1)/100</f>
        <v/>
      </c>
      <c r="M156" s="127">
        <f>IF(OR(E156="",F156="",G156=""),"",((H156+I156)*1024)/(E156*F156*G156/8192))</f>
        <v/>
      </c>
      <c r="N156" s="127">
        <f>IF(OR(E156="",F156="",G156=""),"",(E156*F156*4)/(E156*F156*G156/8192))</f>
        <v/>
      </c>
      <c r="O156" s="126">
        <f>IF(AND(ISNUMBER(M156),M156&gt;0),MIN(1,128/M156),"")</f>
        <v/>
      </c>
      <c r="P156" s="126">
        <f>IF(AND(ISNUMBER(N156),N156&gt;0),MIN(1,512/N156),"")</f>
        <v/>
      </c>
      <c r="Q156" s="126">
        <f>IF(AND(ISNUMBER(O156),ISNUMBER(P156)),MIN(O156,P156),"")</f>
        <v/>
      </c>
      <c r="R156" s="127">
        <f>IF(AND(ISNUMBER(L156),ISNUMBER(Q156)),(L156-Q156)*100,"")</f>
        <v/>
      </c>
      <c r="S156" s="92" t="inlineStr">
        <is>
          <t>PASS</t>
        </is>
      </c>
      <c r="T156" t="inlineStr">
        <is>
          <t>本轮 model-main 9b3a4405 + 8参数(256KB ShareTReg) 2026-09-22</t>
        </is>
      </c>
    </row>
    <row r="157" ht="20" customHeight="1">
      <c r="A157" s="45" t="inlineStr">
        <is>
          <t>FP8</t>
        </is>
      </c>
      <c r="B157" s="46" t="n">
        <v>256</v>
      </c>
      <c r="C157" s="46" t="n">
        <v>128</v>
      </c>
      <c r="D157" s="46" t="n">
        <v>7168</v>
      </c>
      <c r="E157" s="46" t="n">
        <v>128</v>
      </c>
      <c r="F157" s="46" t="n">
        <v>64</v>
      </c>
      <c r="G157" s="46" t="n">
        <v>512</v>
      </c>
      <c r="H157" s="46" t="n">
        <v>64</v>
      </c>
      <c r="I157" s="46" t="n">
        <v>32</v>
      </c>
      <c r="J157" s="46" t="n">
        <v>96</v>
      </c>
      <c r="K157" s="125" t="n">
        <v>79070</v>
      </c>
      <c r="L157" s="126">
        <f>ROUND(B157*C157*D157/8192/K157*100,1)/100</f>
        <v/>
      </c>
      <c r="M157" s="127">
        <f>IF(OR(E157="",F157="",G157=""),"",((H157+I157)*1024)/(E157*F157*G157/8192))</f>
        <v/>
      </c>
      <c r="N157" s="127">
        <f>IF(OR(E157="",F157="",G157=""),"",(E157*F157*4)/(E157*F157*G157/8192))</f>
        <v/>
      </c>
      <c r="O157" s="126">
        <f>IF(AND(ISNUMBER(M157),M157&gt;0),MIN(1,128/M157),"")</f>
        <v/>
      </c>
      <c r="P157" s="126">
        <f>IF(AND(ISNUMBER(N157),N157&gt;0),MIN(1,512/N157),"")</f>
        <v/>
      </c>
      <c r="Q157" s="126">
        <f>IF(AND(ISNUMBER(O157),ISNUMBER(P157)),MIN(O157,P157),"")</f>
        <v/>
      </c>
      <c r="R157" s="127">
        <f>IF(AND(ISNUMBER(L157),ISNUMBER(Q157)),(L157-Q157)*100,"")</f>
        <v/>
      </c>
      <c r="S157" s="92" t="inlineStr">
        <is>
          <t>PASS</t>
        </is>
      </c>
      <c r="T157" t="inlineStr">
        <is>
          <t>本轮 model-main 9b3a4405 + 8参数(256KB ShareTReg) 2026-09-22</t>
        </is>
      </c>
    </row>
    <row r="158" ht="20" customHeight="1">
      <c r="A158" s="45" t="inlineStr">
        <is>
          <t>FP8</t>
        </is>
      </c>
      <c r="B158" s="46" t="n">
        <v>256</v>
      </c>
      <c r="C158" s="46" t="n">
        <v>128</v>
      </c>
      <c r="D158" s="46" t="n">
        <v>7168</v>
      </c>
      <c r="E158" s="46" t="n">
        <v>128</v>
      </c>
      <c r="F158" s="46" t="n">
        <v>64</v>
      </c>
      <c r="G158" s="46" t="n">
        <v>1024</v>
      </c>
      <c r="H158" s="46" t="n">
        <v>128</v>
      </c>
      <c r="I158" s="46" t="n">
        <v>64</v>
      </c>
      <c r="J158" s="46" t="n">
        <v>192</v>
      </c>
      <c r="K158" s="125" t="n">
        <v>145866</v>
      </c>
      <c r="L158" s="126">
        <f>ROUND(B158*C158*D158/8192/K158*100,1)/100</f>
        <v/>
      </c>
      <c r="M158" s="127">
        <f>IF(OR(E158="",F158="",G158=""),"",((H158+I158)*1024)/(E158*F158*G158/8192))</f>
        <v/>
      </c>
      <c r="N158" s="127">
        <f>IF(OR(E158="",F158="",G158=""),"",(E158*F158*4)/(E158*F158*G158/8192))</f>
        <v/>
      </c>
      <c r="O158" s="126">
        <f>IF(AND(ISNUMBER(M158),M158&gt;0),MIN(1,128/M158),"")</f>
        <v/>
      </c>
      <c r="P158" s="126">
        <f>IF(AND(ISNUMBER(N158),N158&gt;0),MIN(1,512/N158),"")</f>
        <v/>
      </c>
      <c r="Q158" s="126">
        <f>IF(AND(ISNUMBER(O158),ISNUMBER(P158)),MIN(O158,P158),"")</f>
        <v/>
      </c>
      <c r="R158" s="127">
        <f>IF(AND(ISNUMBER(L158),ISNUMBER(Q158)),(L158-Q158)*100,"")</f>
        <v/>
      </c>
      <c r="S158" s="92" t="inlineStr">
        <is>
          <t>PASS</t>
        </is>
      </c>
      <c r="T158" t="inlineStr">
        <is>
          <t>本轮 model-main 9b3a4405 + 8参数(256KB ShareTReg) 2026-09-22</t>
        </is>
      </c>
    </row>
    <row r="159" ht="20" customHeight="1">
      <c r="A159" s="45" t="inlineStr">
        <is>
          <t>FP8</t>
        </is>
      </c>
      <c r="B159" s="46" t="n">
        <v>256</v>
      </c>
      <c r="C159" s="46" t="n">
        <v>128</v>
      </c>
      <c r="D159" s="46" t="n">
        <v>7168</v>
      </c>
      <c r="E159" s="104" t="n">
        <v>128</v>
      </c>
      <c r="F159" s="104" t="n">
        <v>128</v>
      </c>
      <c r="G159" s="104" t="n">
        <v>256</v>
      </c>
      <c r="H159" s="46" t="n">
        <v>32</v>
      </c>
      <c r="I159" s="46" t="n">
        <v>32</v>
      </c>
      <c r="J159" s="46" t="n">
        <v>64</v>
      </c>
      <c r="K159" s="125" t="n">
        <v>53227</v>
      </c>
      <c r="L159" s="118">
        <f>ROUND(B159*C159*D159/8192/K159*100,1)/100</f>
        <v/>
      </c>
      <c r="M159" s="127">
        <f>IF(OR(E159="",F159="",G159=""),"",((H159+I159)*1024)/(E159*F159*G159/8192))</f>
        <v/>
      </c>
      <c r="N159" s="127">
        <f>IF(OR(E159="",F159="",G159=""),"",(E159*F159*4)/(E159*F159*G159/8192))</f>
        <v/>
      </c>
      <c r="O159" s="126">
        <f>IF(AND(ISNUMBER(M159),M159&gt;0),MIN(1,128/M159),"")</f>
        <v/>
      </c>
      <c r="P159" s="126">
        <f>IF(AND(ISNUMBER(N159),N159&gt;0),MIN(1,512/N159),"")</f>
        <v/>
      </c>
      <c r="Q159" s="126">
        <f>IF(AND(ISNUMBER(O159),ISNUMBER(P159)),MIN(O159,P159),"")</f>
        <v/>
      </c>
      <c r="R159" s="127">
        <f>IF(AND(ISNUMBER(L159),ISNUMBER(Q159)),(L159-Q159)*100,"")</f>
        <v/>
      </c>
      <c r="S159" s="92" t="inlineStr">
        <is>
          <t>PASS</t>
        </is>
      </c>
      <c r="T159" t="inlineStr">
        <is>
          <t>本轮 model-main 9b3a4405 + 8参数(256KB ShareTReg) 2026-09-22</t>
        </is>
      </c>
    </row>
    <row r="160" ht="20" customHeight="1">
      <c r="A160" s="45" t="inlineStr">
        <is>
          <t>FP8</t>
        </is>
      </c>
      <c r="B160" s="46" t="n">
        <v>256</v>
      </c>
      <c r="C160" s="46" t="n">
        <v>128</v>
      </c>
      <c r="D160" s="46" t="n">
        <v>7168</v>
      </c>
      <c r="E160" s="46" t="n">
        <v>128</v>
      </c>
      <c r="F160" s="46" t="n">
        <v>128</v>
      </c>
      <c r="G160" s="46" t="n">
        <v>512</v>
      </c>
      <c r="H160" s="46" t="n">
        <v>64</v>
      </c>
      <c r="I160" s="46" t="n">
        <v>64</v>
      </c>
      <c r="J160" s="46" t="n">
        <v>128</v>
      </c>
      <c r="K160" s="125" t="n">
        <v>54552</v>
      </c>
      <c r="L160" s="126">
        <f>ROUND(B160*C160*D160/8192/K160*100,1)/100</f>
        <v/>
      </c>
      <c r="M160" s="127">
        <f>IF(OR(E160="",F160="",G160=""),"",((H160+I160)*1024)/(E160*F160*G160/8192))</f>
        <v/>
      </c>
      <c r="N160" s="127">
        <f>IF(OR(E160="",F160="",G160=""),"",(E160*F160*4)/(E160*F160*G160/8192))</f>
        <v/>
      </c>
      <c r="O160" s="126">
        <f>IF(AND(ISNUMBER(M160),M160&gt;0),MIN(1,128/M160),"")</f>
        <v/>
      </c>
      <c r="P160" s="126">
        <f>IF(AND(ISNUMBER(N160),N160&gt;0),MIN(1,512/N160),"")</f>
        <v/>
      </c>
      <c r="Q160" s="126">
        <f>IF(AND(ISNUMBER(O160),ISNUMBER(P160)),MIN(O160,P160),"")</f>
        <v/>
      </c>
      <c r="R160" s="127">
        <f>IF(AND(ISNUMBER(L160),ISNUMBER(Q160)),(L160-Q160)*100,"")</f>
        <v/>
      </c>
      <c r="S160" s="92" t="inlineStr">
        <is>
          <t>PASS</t>
        </is>
      </c>
      <c r="T160" t="inlineStr">
        <is>
          <t>本轮 model-main 9b3a4405 + 8参数(256KB ShareTReg) 2026-09-22</t>
        </is>
      </c>
    </row>
    <row r="161" ht="20" customHeight="1">
      <c r="A161" s="45" t="inlineStr">
        <is>
          <t>FP8</t>
        </is>
      </c>
      <c r="B161" s="46" t="n">
        <v>256</v>
      </c>
      <c r="C161" s="46" t="n">
        <v>128</v>
      </c>
      <c r="D161" s="46" t="n">
        <v>7168</v>
      </c>
      <c r="E161" s="46" t="n">
        <v>128</v>
      </c>
      <c r="F161" s="46" t="n">
        <v>128</v>
      </c>
      <c r="G161" s="46" t="n">
        <v>1024</v>
      </c>
      <c r="H161" s="46" t="n">
        <v>128</v>
      </c>
      <c r="I161" s="46" t="n">
        <v>128</v>
      </c>
      <c r="J161" s="46" t="n">
        <v>256</v>
      </c>
      <c r="K161" s="125" t="n">
        <v>100799</v>
      </c>
      <c r="L161" s="126">
        <f>ROUND(B161*C161*D161/8192/K161*100,1)/100</f>
        <v/>
      </c>
      <c r="M161" s="127">
        <f>IF(OR(E161="",F161="",G161=""),"",((H161+I161)*1024)/(E161*F161*G161/8192))</f>
        <v/>
      </c>
      <c r="N161" s="127">
        <f>IF(OR(E161="",F161="",G161=""),"",(E161*F161*4)/(E161*F161*G161/8192))</f>
        <v/>
      </c>
      <c r="O161" s="126">
        <f>IF(AND(ISNUMBER(M161),M161&gt;0),MIN(1,128/M161),"")</f>
        <v/>
      </c>
      <c r="P161" s="126">
        <f>IF(AND(ISNUMBER(N161),N161&gt;0),MIN(1,512/N161),"")</f>
        <v/>
      </c>
      <c r="Q161" s="126">
        <f>IF(AND(ISNUMBER(O161),ISNUMBER(P161)),MIN(O161,P161),"")</f>
        <v/>
      </c>
      <c r="R161" s="127">
        <f>IF(AND(ISNUMBER(L161),ISNUMBER(Q161)),(L161-Q161)*100,"")</f>
        <v/>
      </c>
      <c r="S161" s="92" t="inlineStr">
        <is>
          <t>PASS</t>
        </is>
      </c>
      <c r="T161" t="inlineStr">
        <is>
          <t>本轮 model-main 9b3a4405 + 8参数(256KB ShareTReg) 2026-09-22</t>
        </is>
      </c>
    </row>
    <row r="162" ht="23" customHeight="1">
      <c r="A162" s="81" t="inlineStr">
        <is>
          <t>MXFP8</t>
        </is>
      </c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112" t="n"/>
      <c r="L162" s="113" t="n"/>
      <c r="M162" s="114" t="n"/>
      <c r="N162" s="114" t="n"/>
      <c r="O162" s="113" t="n"/>
      <c r="P162" s="113" t="n"/>
      <c r="Q162" s="113" t="n"/>
      <c r="R162" s="114" t="n"/>
      <c r="S162" s="86" t="n"/>
    </row>
    <row r="163" ht="20" customHeight="1">
      <c r="A163" s="27" t="inlineStr">
        <is>
          <t>MXFP8</t>
        </is>
      </c>
      <c r="B163" s="28" t="n">
        <v>256</v>
      </c>
      <c r="C163" s="28" t="n">
        <v>128</v>
      </c>
      <c r="D163" s="28" t="n">
        <v>7168</v>
      </c>
      <c r="E163" s="28" t="n">
        <v>128</v>
      </c>
      <c r="F163" s="28" t="n">
        <v>64</v>
      </c>
      <c r="G163" s="28" t="n">
        <v>256</v>
      </c>
      <c r="H163" s="28" t="n">
        <v>36</v>
      </c>
      <c r="I163" s="28" t="n">
        <v>18</v>
      </c>
      <c r="J163" s="28" t="n">
        <v>54</v>
      </c>
      <c r="K163" s="115" t="n">
        <v>92936</v>
      </c>
      <c r="L163" s="116">
        <f>ROUND(B163*C163*D163/8192/K163*100,1)/100</f>
        <v/>
      </c>
      <c r="M163" s="117">
        <f>IF(OR(E163="",F163="",G163=""),"",((H163+I163)*1024)/(E163*F163*G163/8192))</f>
        <v/>
      </c>
      <c r="N163" s="117">
        <f>IF(OR(E163="",F163="",G163=""),"",(E163*F163*4)/(E163*F163*G163/8192))</f>
        <v/>
      </c>
      <c r="O163" s="116">
        <f>IF(AND(ISNUMBER(M163),M163&gt;0),MIN(1,128/M163),"")</f>
        <v/>
      </c>
      <c r="P163" s="116">
        <f>IF(AND(ISNUMBER(N163),N163&gt;0),MIN(1,512/N163),"")</f>
        <v/>
      </c>
      <c r="Q163" s="116">
        <f>IF(AND(ISNUMBER(O163),ISNUMBER(P163)),MIN(O163,P163),"")</f>
        <v/>
      </c>
      <c r="R163" s="117">
        <f>IF(AND(ISNUMBER(L163),ISNUMBER(Q163)),(L163-Q163)*100,"")</f>
        <v/>
      </c>
      <c r="S163" s="87" t="inlineStr">
        <is>
          <t>PASS</t>
        </is>
      </c>
      <c r="T163" t="inlineStr">
        <is>
          <t>本轮 model-main 9b3a4405 + 8参数(256KB ShareTReg) 2026-09-22</t>
        </is>
      </c>
    </row>
    <row r="164" ht="20" customHeight="1">
      <c r="A164" s="27" t="inlineStr">
        <is>
          <t>MXFP8</t>
        </is>
      </c>
      <c r="B164" s="28" t="n">
        <v>256</v>
      </c>
      <c r="C164" s="28" t="n">
        <v>128</v>
      </c>
      <c r="D164" s="28" t="n">
        <v>7168</v>
      </c>
      <c r="E164" s="28" t="n">
        <v>128</v>
      </c>
      <c r="F164" s="28" t="n">
        <v>64</v>
      </c>
      <c r="G164" s="28" t="n">
        <v>512</v>
      </c>
      <c r="H164" s="28" t="n">
        <v>68</v>
      </c>
      <c r="I164" s="28" t="n">
        <v>34</v>
      </c>
      <c r="J164" s="28" t="n">
        <v>102</v>
      </c>
      <c r="K164" s="115" t="n">
        <v>90655</v>
      </c>
      <c r="L164" s="116">
        <f>ROUND(B164*C164*D164/8192/K164*100,1)/100</f>
        <v/>
      </c>
      <c r="M164" s="117">
        <f>IF(OR(E164="",F164="",G164=""),"",((H164+I164)*1024)/(E164*F164*G164/8192))</f>
        <v/>
      </c>
      <c r="N164" s="117">
        <f>IF(OR(E164="",F164="",G164=""),"",(E164*F164*4)/(E164*F164*G164/8192))</f>
        <v/>
      </c>
      <c r="O164" s="116">
        <f>IF(AND(ISNUMBER(M164),M164&gt;0),MIN(1,128/M164),"")</f>
        <v/>
      </c>
      <c r="P164" s="116">
        <f>IF(AND(ISNUMBER(N164),N164&gt;0),MIN(1,512/N164),"")</f>
        <v/>
      </c>
      <c r="Q164" s="116">
        <f>IF(AND(ISNUMBER(O164),ISNUMBER(P164)),MIN(O164,P164),"")</f>
        <v/>
      </c>
      <c r="R164" s="117">
        <f>IF(AND(ISNUMBER(L164),ISNUMBER(Q164)),(L164-Q164)*100,"")</f>
        <v/>
      </c>
      <c r="S164" s="87" t="inlineStr">
        <is>
          <t>PASS</t>
        </is>
      </c>
      <c r="T164" t="inlineStr">
        <is>
          <t>本轮 model-main 9b3a4405 + 8参数(256KB ShareTReg) 2026-09-22</t>
        </is>
      </c>
    </row>
    <row r="165" ht="20" customHeight="1">
      <c r="A165" s="27" t="inlineStr">
        <is>
          <t>MXFP8</t>
        </is>
      </c>
      <c r="B165" s="28" t="n">
        <v>256</v>
      </c>
      <c r="C165" s="28" t="n">
        <v>128</v>
      </c>
      <c r="D165" s="28" t="n">
        <v>7168</v>
      </c>
      <c r="E165" s="28" t="n">
        <v>128</v>
      </c>
      <c r="F165" s="28" t="n">
        <v>64</v>
      </c>
      <c r="G165" s="28" t="n">
        <v>1024</v>
      </c>
      <c r="H165" s="28" t="n">
        <v>132</v>
      </c>
      <c r="I165" s="28" t="n">
        <v>66</v>
      </c>
      <c r="J165" s="28" t="n">
        <v>198</v>
      </c>
      <c r="K165" s="115" t="n">
        <v>163621</v>
      </c>
      <c r="L165" s="116">
        <f>ROUND(B165*C165*D165/8192/K165*100,1)/100</f>
        <v/>
      </c>
      <c r="M165" s="117">
        <f>IF(OR(E165="",F165="",G165=""),"",((H165+I165)*1024)/(E165*F165*G165/8192))</f>
        <v/>
      </c>
      <c r="N165" s="117">
        <f>IF(OR(E165="",F165="",G165=""),"",(E165*F165*4)/(E165*F165*G165/8192))</f>
        <v/>
      </c>
      <c r="O165" s="116">
        <f>IF(AND(ISNUMBER(M165),M165&gt;0),MIN(1,128/M165),"")</f>
        <v/>
      </c>
      <c r="P165" s="116">
        <f>IF(AND(ISNUMBER(N165),N165&gt;0),MIN(1,512/N165),"")</f>
        <v/>
      </c>
      <c r="Q165" s="116">
        <f>IF(AND(ISNUMBER(O165),ISNUMBER(P165)),MIN(O165,P165),"")</f>
        <v/>
      </c>
      <c r="R165" s="117">
        <f>IF(AND(ISNUMBER(L165),ISNUMBER(Q165)),(L165-Q165)*100,"")</f>
        <v/>
      </c>
      <c r="S165" s="87" t="inlineStr">
        <is>
          <t>PASS</t>
        </is>
      </c>
      <c r="T165" t="inlineStr">
        <is>
          <t>本轮 model-main 9b3a4405 + 8参数(256KB ShareTReg) 2026-09-22</t>
        </is>
      </c>
    </row>
    <row r="166" ht="20" customHeight="1">
      <c r="A166" s="27" t="inlineStr">
        <is>
          <t>MXFP8</t>
        </is>
      </c>
      <c r="B166" s="28" t="n">
        <v>256</v>
      </c>
      <c r="C166" s="28" t="n">
        <v>128</v>
      </c>
      <c r="D166" s="28" t="n">
        <v>7168</v>
      </c>
      <c r="E166" s="99" t="n">
        <v>128</v>
      </c>
      <c r="F166" s="99" t="n">
        <v>128</v>
      </c>
      <c r="G166" s="99" t="n">
        <v>256</v>
      </c>
      <c r="H166" s="28" t="n">
        <v>36</v>
      </c>
      <c r="I166" s="28" t="n">
        <v>36</v>
      </c>
      <c r="J166" s="28" t="n">
        <v>72</v>
      </c>
      <c r="K166" s="115" t="n">
        <v>64553</v>
      </c>
      <c r="L166" s="118">
        <f>ROUND(B166*C166*D166/8192/K166*100,1)/100</f>
        <v/>
      </c>
      <c r="M166" s="117">
        <f>IF(OR(E166="",F166="",G166=""),"",((H166+I166)*1024)/(E166*F166*G166/8192))</f>
        <v/>
      </c>
      <c r="N166" s="117">
        <f>IF(OR(E166="",F166="",G166=""),"",(E166*F166*4)/(E166*F166*G166/8192))</f>
        <v/>
      </c>
      <c r="O166" s="116">
        <f>IF(AND(ISNUMBER(M166),M166&gt;0),MIN(1,128/M166),"")</f>
        <v/>
      </c>
      <c r="P166" s="116">
        <f>IF(AND(ISNUMBER(N166),N166&gt;0),MIN(1,512/N166),"")</f>
        <v/>
      </c>
      <c r="Q166" s="116">
        <f>IF(AND(ISNUMBER(O166),ISNUMBER(P166)),MIN(O166,P166),"")</f>
        <v/>
      </c>
      <c r="R166" s="117">
        <f>IF(AND(ISNUMBER(L166),ISNUMBER(Q166)),(L166-Q166)*100,"")</f>
        <v/>
      </c>
      <c r="S166" s="87" t="inlineStr">
        <is>
          <t>PASS</t>
        </is>
      </c>
      <c r="T166" t="inlineStr">
        <is>
          <t>本轮 model-main 9b3a4405 + 8参数(256KB ShareTReg) 2026-09-22</t>
        </is>
      </c>
    </row>
    <row r="167" ht="20" customHeight="1">
      <c r="A167" s="27" t="inlineStr">
        <is>
          <t>MXFP8</t>
        </is>
      </c>
      <c r="B167" s="28" t="n">
        <v>256</v>
      </c>
      <c r="C167" s="28" t="n">
        <v>128</v>
      </c>
      <c r="D167" s="28" t="n">
        <v>7168</v>
      </c>
      <c r="E167" s="28" t="n">
        <v>128</v>
      </c>
      <c r="F167" s="28" t="n">
        <v>128</v>
      </c>
      <c r="G167" s="28" t="n">
        <v>512</v>
      </c>
      <c r="H167" s="28" t="n">
        <v>68</v>
      </c>
      <c r="I167" s="28" t="n">
        <v>68</v>
      </c>
      <c r="J167" s="28" t="n">
        <v>136</v>
      </c>
      <c r="K167" s="115" t="n">
        <v>89360</v>
      </c>
      <c r="L167" s="116">
        <f>ROUND(B167*C167*D167/8192/K167*100,1)/100</f>
        <v/>
      </c>
      <c r="M167" s="117">
        <f>IF(OR(E167="",F167="",G167=""),"",((H167+I167)*1024)/(E167*F167*G167/8192))</f>
        <v/>
      </c>
      <c r="N167" s="117">
        <f>IF(OR(E167="",F167="",G167=""),"",(E167*F167*4)/(E167*F167*G167/8192))</f>
        <v/>
      </c>
      <c r="O167" s="116">
        <f>IF(AND(ISNUMBER(M167),M167&gt;0),MIN(1,128/M167),"")</f>
        <v/>
      </c>
      <c r="P167" s="116">
        <f>IF(AND(ISNUMBER(N167),N167&gt;0),MIN(1,512/N167),"")</f>
        <v/>
      </c>
      <c r="Q167" s="116">
        <f>IF(AND(ISNUMBER(O167),ISNUMBER(P167)),MIN(O167,P167),"")</f>
        <v/>
      </c>
      <c r="R167" s="117">
        <f>IF(AND(ISNUMBER(L167),ISNUMBER(Q167)),(L167-Q167)*100,"")</f>
        <v/>
      </c>
      <c r="S167" s="87" t="inlineStr">
        <is>
          <t>PASS</t>
        </is>
      </c>
      <c r="T167" t="inlineStr">
        <is>
          <t>本轮 model-main 9b3a4405 + 8参数(256KB ShareTReg) 2026-09-22</t>
        </is>
      </c>
    </row>
    <row r="168" ht="20" customHeight="1">
      <c r="A168" s="27" t="inlineStr">
        <is>
          <t>MXFP8</t>
        </is>
      </c>
      <c r="B168" s="28" t="n">
        <v>256</v>
      </c>
      <c r="C168" s="28" t="n">
        <v>128</v>
      </c>
      <c r="D168" s="28" t="n">
        <v>7168</v>
      </c>
      <c r="E168" s="28" t="n">
        <v>128</v>
      </c>
      <c r="F168" s="28" t="n">
        <v>128</v>
      </c>
      <c r="G168" s="28" t="n">
        <v>1024</v>
      </c>
      <c r="H168" s="28" t="n">
        <v>132</v>
      </c>
      <c r="I168" s="28" t="n">
        <v>132</v>
      </c>
      <c r="J168" s="28" t="n">
        <v>264</v>
      </c>
      <c r="K168" s="115" t="inlineStr">
        <is>
          <t>—</t>
        </is>
      </c>
      <c r="L168" s="116" t="n"/>
      <c r="M168" s="117">
        <f>IF(OR(E168="",F168="",G168=""),"",((H168+I168)*1024)/(E168*F168*G168/8192))</f>
        <v/>
      </c>
      <c r="N168" s="117">
        <f>IF(OR(E168="",F168="",G168=""),"",(E168*F168*4)/(E168*F168*G168/8192))</f>
        <v/>
      </c>
      <c r="O168" s="116">
        <f>IF(AND(ISNUMBER(M168),M168&gt;0),MIN(1,128/M168),"")</f>
        <v/>
      </c>
      <c r="P168" s="116">
        <f>IF(AND(ISNUMBER(N168),N168&gt;0),MIN(1,512/N168),"")</f>
        <v/>
      </c>
      <c r="Q168" s="116">
        <f>IF(AND(ISNUMBER(O168),ISNUMBER(P168)),MIN(O168,P168),"")</f>
        <v/>
      </c>
      <c r="R168" s="117" t="n"/>
      <c r="S168" s="98" t="inlineStr">
        <is>
          <t>COMPILE_FAIL</t>
        </is>
      </c>
      <c r="T168" t="inlineStr">
        <is>
          <t>容量超限：完整 SharedTile 足迹 &gt; 256 KiB；本轮 model-main 9b3a4405 + 8参数(256KB ShareTReg) 2026-09-22</t>
        </is>
      </c>
    </row>
    <row r="169" ht="23" customHeight="1">
      <c r="A169" s="81" t="inlineStr">
        <is>
          <t>MXFP4</t>
        </is>
      </c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112" t="n"/>
      <c r="L169" s="113" t="n"/>
      <c r="M169" s="114" t="n"/>
      <c r="N169" s="114" t="n"/>
      <c r="O169" s="113" t="n"/>
      <c r="P169" s="113" t="n"/>
      <c r="Q169" s="113" t="n"/>
      <c r="R169" s="114" t="n"/>
      <c r="S169" s="86" t="n"/>
    </row>
    <row r="170" ht="20" customHeight="1">
      <c r="A170" s="33" t="inlineStr">
        <is>
          <t>MXFP4</t>
        </is>
      </c>
      <c r="B170" s="34" t="n">
        <v>256</v>
      </c>
      <c r="C170" s="34" t="n">
        <v>128</v>
      </c>
      <c r="D170" s="34" t="n">
        <v>7168</v>
      </c>
      <c r="E170" s="34" t="n">
        <v>128</v>
      </c>
      <c r="F170" s="34" t="n">
        <v>64</v>
      </c>
      <c r="G170" s="34" t="n">
        <v>256</v>
      </c>
      <c r="H170" s="34" t="n">
        <v>36</v>
      </c>
      <c r="I170" s="34" t="n">
        <v>18</v>
      </c>
      <c r="J170" s="34" t="n">
        <v>54</v>
      </c>
      <c r="K170" s="119" t="n">
        <v>101418</v>
      </c>
      <c r="L170" s="120">
        <f>ROUND(B170*C170*D170/16384/K170*100,1)/100</f>
        <v/>
      </c>
      <c r="M170" s="121">
        <f>IF(OR(E170="",F170="",G170=""),"",((H170+I170)*1024)/(E170*F170*G170/16384))</f>
        <v/>
      </c>
      <c r="N170" s="121">
        <f>IF(OR(E170="",F170="",G170=""),"",(E170*F170*4)/(E170*F170*G170/16384))</f>
        <v/>
      </c>
      <c r="O170" s="120">
        <f>IF(AND(ISNUMBER(M170),M170&gt;0),MIN(1,128/M170),"")</f>
        <v/>
      </c>
      <c r="P170" s="120">
        <f>IF(AND(ISNUMBER(N170),N170&gt;0),MIN(1,512/N170),"")</f>
        <v/>
      </c>
      <c r="Q170" s="120">
        <f>IF(AND(ISNUMBER(O170),ISNUMBER(P170)),MIN(O170,P170),"")</f>
        <v/>
      </c>
      <c r="R170" s="121">
        <f>IF(AND(ISNUMBER(L170),ISNUMBER(Q170)),(L170-Q170)*100,"")</f>
        <v/>
      </c>
      <c r="S170" s="89" t="inlineStr">
        <is>
          <t>PASS</t>
        </is>
      </c>
      <c r="T170" t="inlineStr">
        <is>
          <t>本轮 model-main 9b3a4405 + 8参数(256KB ShareTReg) 2026-09-22</t>
        </is>
      </c>
    </row>
    <row r="171" ht="20" customHeight="1">
      <c r="A171" s="33" t="inlineStr">
        <is>
          <t>MXFP4</t>
        </is>
      </c>
      <c r="B171" s="34" t="n">
        <v>256</v>
      </c>
      <c r="C171" s="34" t="n">
        <v>128</v>
      </c>
      <c r="D171" s="34" t="n">
        <v>7168</v>
      </c>
      <c r="E171" s="34" t="n">
        <v>128</v>
      </c>
      <c r="F171" s="34" t="n">
        <v>64</v>
      </c>
      <c r="G171" s="34" t="n">
        <v>512</v>
      </c>
      <c r="H171" s="34" t="n">
        <v>68</v>
      </c>
      <c r="I171" s="34" t="n">
        <v>34</v>
      </c>
      <c r="J171" s="34" t="n">
        <v>102</v>
      </c>
      <c r="K171" s="119" t="n">
        <v>97521</v>
      </c>
      <c r="L171" s="120">
        <f>ROUND(B171*C171*D171/16384/K171*100,1)/100</f>
        <v/>
      </c>
      <c r="M171" s="121">
        <f>IF(OR(E171="",F171="",G171=""),"",((H171+I171)*1024)/(E171*F171*G171/16384))</f>
        <v/>
      </c>
      <c r="N171" s="121">
        <f>IF(OR(E171="",F171="",G171=""),"",(E171*F171*4)/(E171*F171*G171/16384))</f>
        <v/>
      </c>
      <c r="O171" s="120">
        <f>IF(AND(ISNUMBER(M171),M171&gt;0),MIN(1,128/M171),"")</f>
        <v/>
      </c>
      <c r="P171" s="120">
        <f>IF(AND(ISNUMBER(N171),N171&gt;0),MIN(1,512/N171),"")</f>
        <v/>
      </c>
      <c r="Q171" s="120">
        <f>IF(AND(ISNUMBER(O171),ISNUMBER(P171)),MIN(O171,P171),"")</f>
        <v/>
      </c>
      <c r="R171" s="121">
        <f>IF(AND(ISNUMBER(L171),ISNUMBER(Q171)),(L171-Q171)*100,"")</f>
        <v/>
      </c>
      <c r="S171" s="89" t="inlineStr">
        <is>
          <t>PASS</t>
        </is>
      </c>
      <c r="T171" t="inlineStr">
        <is>
          <t>本轮 model-main 9b3a4405 + 8参数(256KB ShareTReg) 2026-09-22</t>
        </is>
      </c>
    </row>
    <row r="172" ht="20" customHeight="1">
      <c r="A172" s="33" t="inlineStr">
        <is>
          <t>MXFP4</t>
        </is>
      </c>
      <c r="B172" s="34" t="n">
        <v>256</v>
      </c>
      <c r="C172" s="34" t="n">
        <v>128</v>
      </c>
      <c r="D172" s="34" t="n">
        <v>7168</v>
      </c>
      <c r="E172" s="34" t="n">
        <v>128</v>
      </c>
      <c r="F172" s="34" t="n">
        <v>64</v>
      </c>
      <c r="G172" s="34" t="n">
        <v>1024</v>
      </c>
      <c r="H172" s="34" t="n">
        <v>132</v>
      </c>
      <c r="I172" s="34" t="n">
        <v>66</v>
      </c>
      <c r="J172" s="34" t="n">
        <v>198</v>
      </c>
      <c r="K172" s="119" t="n">
        <v>152440</v>
      </c>
      <c r="L172" s="120">
        <f>ROUND(B172*C172*D172/16384/K172*100,1)/100</f>
        <v/>
      </c>
      <c r="M172" s="121">
        <f>IF(OR(E172="",F172="",G172=""),"",((H172+I172)*1024)/(E172*F172*G172/16384))</f>
        <v/>
      </c>
      <c r="N172" s="121">
        <f>IF(OR(E172="",F172="",G172=""),"",(E172*F172*4)/(E172*F172*G172/16384))</f>
        <v/>
      </c>
      <c r="O172" s="120">
        <f>IF(AND(ISNUMBER(M172),M172&gt;0),MIN(1,128/M172),"")</f>
        <v/>
      </c>
      <c r="P172" s="120">
        <f>IF(AND(ISNUMBER(N172),N172&gt;0),MIN(1,512/N172),"")</f>
        <v/>
      </c>
      <c r="Q172" s="120">
        <f>IF(AND(ISNUMBER(O172),ISNUMBER(P172)),MIN(O172,P172),"")</f>
        <v/>
      </c>
      <c r="R172" s="121">
        <f>IF(AND(ISNUMBER(L172),ISNUMBER(Q172)),(L172-Q172)*100,"")</f>
        <v/>
      </c>
      <c r="S172" s="89" t="inlineStr">
        <is>
          <t>PASS</t>
        </is>
      </c>
      <c r="T172" t="inlineStr">
        <is>
          <t>本轮 model-main 9b3a4405 + 8参数(256KB ShareTReg) 2026-09-22</t>
        </is>
      </c>
    </row>
    <row r="173" ht="20" customHeight="1">
      <c r="A173" s="33" t="inlineStr">
        <is>
          <t>MXFP4</t>
        </is>
      </c>
      <c r="B173" s="34" t="n">
        <v>256</v>
      </c>
      <c r="C173" s="34" t="n">
        <v>128</v>
      </c>
      <c r="D173" s="34" t="n">
        <v>7168</v>
      </c>
      <c r="E173" s="34" t="n">
        <v>128</v>
      </c>
      <c r="F173" s="34" t="n">
        <v>128</v>
      </c>
      <c r="G173" s="34" t="n">
        <v>256</v>
      </c>
      <c r="H173" s="34" t="n">
        <v>36</v>
      </c>
      <c r="I173" s="34" t="n">
        <v>36</v>
      </c>
      <c r="J173" s="34" t="n">
        <v>72</v>
      </c>
      <c r="K173" s="119" t="n">
        <v>68909</v>
      </c>
      <c r="L173" s="120">
        <f>ROUND(B173*C173*D173/16384/K173*100,1)/100</f>
        <v/>
      </c>
      <c r="M173" s="121">
        <f>IF(OR(E173="",F173="",G173=""),"",((H173+I173)*1024)/(E173*F173*G173/16384))</f>
        <v/>
      </c>
      <c r="N173" s="121">
        <f>IF(OR(E173="",F173="",G173=""),"",(E173*F173*4)/(E173*F173*G173/16384))</f>
        <v/>
      </c>
      <c r="O173" s="120">
        <f>IF(AND(ISNUMBER(M173),M173&gt;0),MIN(1,128/M173),"")</f>
        <v/>
      </c>
      <c r="P173" s="120">
        <f>IF(AND(ISNUMBER(N173),N173&gt;0),MIN(1,512/N173),"")</f>
        <v/>
      </c>
      <c r="Q173" s="120">
        <f>IF(AND(ISNUMBER(O173),ISNUMBER(P173)),MIN(O173,P173),"")</f>
        <v/>
      </c>
      <c r="R173" s="121">
        <f>IF(AND(ISNUMBER(L173),ISNUMBER(Q173)),(L173-Q173)*100,"")</f>
        <v/>
      </c>
      <c r="S173" s="89" t="inlineStr">
        <is>
          <t>PASS</t>
        </is>
      </c>
      <c r="T173" t="inlineStr">
        <is>
          <t>本轮 model-main 9b3a4405 + 8参数(256KB ShareTReg) 2026-09-22</t>
        </is>
      </c>
    </row>
    <row r="174" ht="20" customHeight="1">
      <c r="A174" s="33" t="inlineStr">
        <is>
          <t>MXFP4</t>
        </is>
      </c>
      <c r="B174" s="34" t="n">
        <v>256</v>
      </c>
      <c r="C174" s="34" t="n">
        <v>128</v>
      </c>
      <c r="D174" s="34" t="n">
        <v>7168</v>
      </c>
      <c r="E174" s="102" t="n">
        <v>128</v>
      </c>
      <c r="F174" s="102" t="n">
        <v>128</v>
      </c>
      <c r="G174" s="102" t="n">
        <v>512</v>
      </c>
      <c r="H174" s="34" t="n">
        <v>68</v>
      </c>
      <c r="I174" s="34" t="n">
        <v>68</v>
      </c>
      <c r="J174" s="34" t="n">
        <v>136</v>
      </c>
      <c r="K174" s="119" t="n">
        <v>79717</v>
      </c>
      <c r="L174" s="118">
        <f>ROUND(B174*C174*D174/16384/K174*100,1)/100</f>
        <v/>
      </c>
      <c r="M174" s="121">
        <f>IF(OR(E174="",F174="",G174=""),"",((H174+I174)*1024)/(E174*F174*G174/16384))</f>
        <v/>
      </c>
      <c r="N174" s="121">
        <f>IF(OR(E174="",F174="",G174=""),"",(E174*F174*4)/(E174*F174*G174/16384))</f>
        <v/>
      </c>
      <c r="O174" s="120">
        <f>IF(AND(ISNUMBER(M174),M174&gt;0),MIN(1,128/M174),"")</f>
        <v/>
      </c>
      <c r="P174" s="120">
        <f>IF(AND(ISNUMBER(N174),N174&gt;0),MIN(1,512/N174),"")</f>
        <v/>
      </c>
      <c r="Q174" s="120">
        <f>IF(AND(ISNUMBER(O174),ISNUMBER(P174)),MIN(O174,P174),"")</f>
        <v/>
      </c>
      <c r="R174" s="121">
        <f>IF(AND(ISNUMBER(L174),ISNUMBER(Q174)),(L174-Q174)*100,"")</f>
        <v/>
      </c>
      <c r="S174" s="89" t="inlineStr">
        <is>
          <t>PASS</t>
        </is>
      </c>
      <c r="T174" t="inlineStr">
        <is>
          <t>本轮 model-main 9b3a4405 + 8参数(256KB ShareTReg) 2026-09-22</t>
        </is>
      </c>
    </row>
    <row r="175" ht="20" customHeight="1">
      <c r="A175" s="33" t="inlineStr">
        <is>
          <t>MXFP4</t>
        </is>
      </c>
      <c r="B175" s="34" t="n">
        <v>256</v>
      </c>
      <c r="C175" s="34" t="n">
        <v>128</v>
      </c>
      <c r="D175" s="34" t="n">
        <v>7168</v>
      </c>
      <c r="E175" s="34" t="n">
        <v>128</v>
      </c>
      <c r="F175" s="34" t="n">
        <v>128</v>
      </c>
      <c r="G175" s="34" t="n">
        <v>1024</v>
      </c>
      <c r="H175" s="34" t="n">
        <v>132</v>
      </c>
      <c r="I175" s="34" t="n">
        <v>132</v>
      </c>
      <c r="J175" s="34" t="n">
        <v>264</v>
      </c>
      <c r="K175" s="119" t="inlineStr">
        <is>
          <t>—</t>
        </is>
      </c>
      <c r="L175" s="120" t="n"/>
      <c r="M175" s="121">
        <f>IF(OR(E175="",F175="",G175=""),"",((H175+I175)*1024)/(E175*F175*G175/16384))</f>
        <v/>
      </c>
      <c r="N175" s="121">
        <f>IF(OR(E175="",F175="",G175=""),"",(E175*F175*4)/(E175*F175*G175/16384))</f>
        <v/>
      </c>
      <c r="O175" s="120">
        <f>IF(AND(ISNUMBER(M175),M175&gt;0),MIN(1,128/M175),"")</f>
        <v/>
      </c>
      <c r="P175" s="120">
        <f>IF(AND(ISNUMBER(N175),N175&gt;0),MIN(1,512/N175),"")</f>
        <v/>
      </c>
      <c r="Q175" s="120">
        <f>IF(AND(ISNUMBER(O175),ISNUMBER(P175)),MIN(O175,P175),"")</f>
        <v/>
      </c>
      <c r="R175" s="121" t="n"/>
      <c r="S175" s="95" t="inlineStr">
        <is>
          <t>COMPILE_FAIL</t>
        </is>
      </c>
      <c r="T175" t="inlineStr">
        <is>
          <t>容量超限：完整 SharedTile 足迹 &gt; 256 KiB；本轮 model-main 9b3a4405 + 8参数(256KB ShareTReg) 2026-09-22</t>
        </is>
      </c>
    </row>
    <row r="176" ht="26" customHeight="1">
      <c r="A176" s="63" t="inlineStr">
        <is>
          <t>▌ S4  —  64×128×7168</t>
        </is>
      </c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109" t="n"/>
      <c r="L176" s="110" t="n"/>
      <c r="M176" s="111" t="n"/>
      <c r="N176" s="111" t="n"/>
      <c r="O176" s="110" t="n"/>
      <c r="P176" s="110" t="n"/>
      <c r="Q176" s="110" t="n"/>
      <c r="R176" s="111" t="n"/>
      <c r="S176" s="68" t="n"/>
    </row>
    <row r="177" ht="23" customHeight="1">
      <c r="A177" s="81" t="inlineStr">
        <is>
          <t>FP32</t>
        </is>
      </c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112" t="n"/>
      <c r="L177" s="113" t="n"/>
      <c r="M177" s="114" t="n"/>
      <c r="N177" s="114" t="n"/>
      <c r="O177" s="113" t="n"/>
      <c r="P177" s="113" t="n"/>
      <c r="Q177" s="113" t="n"/>
      <c r="R177" s="114" t="n"/>
      <c r="S177" s="86" t="n"/>
    </row>
    <row r="178" ht="20" customHeight="1">
      <c r="A178" s="39" t="inlineStr">
        <is>
          <t>FP32</t>
        </is>
      </c>
      <c r="B178" s="40" t="n">
        <v>64</v>
      </c>
      <c r="C178" s="40" t="n">
        <v>128</v>
      </c>
      <c r="D178" s="40" t="n">
        <v>7168</v>
      </c>
      <c r="E178" s="40" t="n">
        <v>128</v>
      </c>
      <c r="F178" s="40" t="n">
        <v>64</v>
      </c>
      <c r="G178" s="40" t="n">
        <v>64</v>
      </c>
      <c r="H178" s="40" t="n">
        <v>32</v>
      </c>
      <c r="I178" s="40" t="n">
        <v>16</v>
      </c>
      <c r="J178" s="40" t="n">
        <v>48</v>
      </c>
      <c r="K178" s="122" t="n">
        <v>102670</v>
      </c>
      <c r="L178" s="123">
        <f>ROUND(B178*C178*D178/2048/K178*100,1)/100</f>
        <v/>
      </c>
      <c r="M178" s="124">
        <f>IF(OR(E178="",F178="",G178=""),"",((H178+I178)*1024)/(E178*F178*G178/2048))</f>
        <v/>
      </c>
      <c r="N178" s="124">
        <f>IF(OR(E178="",F178="",G178=""),"",(E178*F178*4)/(E178*F178*G178/2048))</f>
        <v/>
      </c>
      <c r="O178" s="123">
        <f>IF(AND(ISNUMBER(M178),M178&gt;0),MIN(1,128/M178),"")</f>
        <v/>
      </c>
      <c r="P178" s="123">
        <f>IF(AND(ISNUMBER(N178),N178&gt;0),MIN(1,512/N178),"")</f>
        <v/>
      </c>
      <c r="Q178" s="123">
        <f>IF(AND(ISNUMBER(O178),ISNUMBER(P178)),MIN(O178,P178),"")</f>
        <v/>
      </c>
      <c r="R178" s="124">
        <f>IF(AND(ISNUMBER(L178),ISNUMBER(Q178)),(L178-Q178)*100,"")</f>
        <v/>
      </c>
      <c r="S178" s="91" t="inlineStr">
        <is>
          <t>PASS</t>
        </is>
      </c>
      <c r="T178" t="inlineStr">
        <is>
          <t>本轮 model-main 9b3a4405 + 8参数(256KB ShareTReg) 2026-09-22</t>
        </is>
      </c>
    </row>
    <row r="179" ht="20" customHeight="1">
      <c r="A179" s="39" t="inlineStr">
        <is>
          <t>FP32</t>
        </is>
      </c>
      <c r="B179" s="40" t="n">
        <v>64</v>
      </c>
      <c r="C179" s="40" t="n">
        <v>128</v>
      </c>
      <c r="D179" s="40" t="n">
        <v>7168</v>
      </c>
      <c r="E179" s="40" t="n">
        <v>128</v>
      </c>
      <c r="F179" s="40" t="n">
        <v>64</v>
      </c>
      <c r="G179" s="40" t="n">
        <v>128</v>
      </c>
      <c r="H179" s="40" t="n">
        <v>64</v>
      </c>
      <c r="I179" s="40" t="n">
        <v>32</v>
      </c>
      <c r="J179" s="40" t="n">
        <v>96</v>
      </c>
      <c r="K179" s="122" t="n">
        <v>102664</v>
      </c>
      <c r="L179" s="123">
        <f>ROUND(B179*C179*D179/2048/K179*100,1)/100</f>
        <v/>
      </c>
      <c r="M179" s="124">
        <f>IF(OR(E179="",F179="",G179=""),"",((H179+I179)*1024)/(E179*F179*G179/2048))</f>
        <v/>
      </c>
      <c r="N179" s="124">
        <f>IF(OR(E179="",F179="",G179=""),"",(E179*F179*4)/(E179*F179*G179/2048))</f>
        <v/>
      </c>
      <c r="O179" s="123">
        <f>IF(AND(ISNUMBER(M179),M179&gt;0),MIN(1,128/M179),"")</f>
        <v/>
      </c>
      <c r="P179" s="123">
        <f>IF(AND(ISNUMBER(N179),N179&gt;0),MIN(1,512/N179),"")</f>
        <v/>
      </c>
      <c r="Q179" s="123">
        <f>IF(AND(ISNUMBER(O179),ISNUMBER(P179)),MIN(O179,P179),"")</f>
        <v/>
      </c>
      <c r="R179" s="124">
        <f>IF(AND(ISNUMBER(L179),ISNUMBER(Q179)),(L179-Q179)*100,"")</f>
        <v/>
      </c>
      <c r="S179" s="91" t="inlineStr">
        <is>
          <t>PASS</t>
        </is>
      </c>
      <c r="T179" t="inlineStr">
        <is>
          <t>本轮 model-main 9b3a4405 + 8参数(256KB ShareTReg) 2026-09-22</t>
        </is>
      </c>
    </row>
    <row r="180" ht="20" customHeight="1">
      <c r="A180" s="39" t="inlineStr">
        <is>
          <t>FP32</t>
        </is>
      </c>
      <c r="B180" s="40" t="n">
        <v>64</v>
      </c>
      <c r="C180" s="40" t="n">
        <v>128</v>
      </c>
      <c r="D180" s="40" t="n">
        <v>7168</v>
      </c>
      <c r="E180" s="40" t="n">
        <v>128</v>
      </c>
      <c r="F180" s="40" t="n">
        <v>64</v>
      </c>
      <c r="G180" s="40" t="n">
        <v>256</v>
      </c>
      <c r="H180" s="40" t="n">
        <v>128</v>
      </c>
      <c r="I180" s="40" t="n">
        <v>64</v>
      </c>
      <c r="J180" s="40" t="n">
        <v>192</v>
      </c>
      <c r="K180" s="122" t="n">
        <v>180994</v>
      </c>
      <c r="L180" s="123">
        <f>ROUND(B180*C180*D180/2048/K180*100,1)/100</f>
        <v/>
      </c>
      <c r="M180" s="124">
        <f>IF(OR(E180="",F180="",G180=""),"",((H180+I180)*1024)/(E180*F180*G180/2048))</f>
        <v/>
      </c>
      <c r="N180" s="124">
        <f>IF(OR(E180="",F180="",G180=""),"",(E180*F180*4)/(E180*F180*G180/2048))</f>
        <v/>
      </c>
      <c r="O180" s="123">
        <f>IF(AND(ISNUMBER(M180),M180&gt;0),MIN(1,128/M180),"")</f>
        <v/>
      </c>
      <c r="P180" s="123">
        <f>IF(AND(ISNUMBER(N180),N180&gt;0),MIN(1,512/N180),"")</f>
        <v/>
      </c>
      <c r="Q180" s="123">
        <f>IF(AND(ISNUMBER(O180),ISNUMBER(P180)),MIN(O180,P180),"")</f>
        <v/>
      </c>
      <c r="R180" s="124">
        <f>IF(AND(ISNUMBER(L180),ISNUMBER(Q180)),(L180-Q180)*100,"")</f>
        <v/>
      </c>
      <c r="S180" s="91" t="inlineStr">
        <is>
          <t>PASS</t>
        </is>
      </c>
      <c r="T180" t="inlineStr">
        <is>
          <t>本轮 model-main 9b3a4405 + 8参数(256KB ShareTReg) 2026-09-22</t>
        </is>
      </c>
    </row>
    <row r="181" ht="20" customHeight="1">
      <c r="A181" s="39" t="inlineStr">
        <is>
          <t>FP32</t>
        </is>
      </c>
      <c r="B181" s="40" t="n">
        <v>64</v>
      </c>
      <c r="C181" s="40" t="n">
        <v>128</v>
      </c>
      <c r="D181" s="40" t="n">
        <v>7168</v>
      </c>
      <c r="E181" s="40" t="n">
        <v>128</v>
      </c>
      <c r="F181" s="40" t="n">
        <v>64</v>
      </c>
      <c r="G181" s="40" t="n">
        <v>512</v>
      </c>
      <c r="H181" s="40" t="n">
        <v>256</v>
      </c>
      <c r="I181" s="40" t="n">
        <v>128</v>
      </c>
      <c r="J181" s="40" t="n">
        <v>384</v>
      </c>
      <c r="K181" s="122" t="inlineStr">
        <is>
          <t>—</t>
        </is>
      </c>
      <c r="L181" s="123" t="n"/>
      <c r="M181" s="124">
        <f>IF(OR(E181="",F181="",G181=""),"",((H181+I181)*1024)/(E181*F181*G181/2048))</f>
        <v/>
      </c>
      <c r="N181" s="124">
        <f>IF(OR(E181="",F181="",G181=""),"",(E181*F181*4)/(E181*F181*G181/2048))</f>
        <v/>
      </c>
      <c r="O181" s="123">
        <f>IF(AND(ISNUMBER(M181),M181&gt;0),MIN(1,128/M181),"")</f>
        <v/>
      </c>
      <c r="P181" s="123">
        <f>IF(AND(ISNUMBER(N181),N181&gt;0),MIN(1,512/N181),"")</f>
        <v/>
      </c>
      <c r="Q181" s="123">
        <f>IF(AND(ISNUMBER(O181),ISNUMBER(P181)),MIN(O181,P181),"")</f>
        <v/>
      </c>
      <c r="R181" s="124" t="n"/>
      <c r="S181" s="96" t="inlineStr">
        <is>
          <t>COMPILE_FAIL</t>
        </is>
      </c>
      <c r="T181" t="inlineStr">
        <is>
          <t>容量超限：完整 SharedTile 足迹 &gt; 256 KiB；本轮 model-main 9b3a4405 + 8参数(256KB ShareTReg) 2026-09-22</t>
        </is>
      </c>
    </row>
    <row r="182" ht="20" customHeight="1">
      <c r="A182" s="39" t="inlineStr">
        <is>
          <t>FP32</t>
        </is>
      </c>
      <c r="B182" s="40" t="n">
        <v>64</v>
      </c>
      <c r="C182" s="40" t="n">
        <v>128</v>
      </c>
      <c r="D182" s="40" t="n">
        <v>7168</v>
      </c>
      <c r="E182" s="103" t="n">
        <v>128</v>
      </c>
      <c r="F182" s="103" t="n">
        <v>128</v>
      </c>
      <c r="G182" s="103" t="n">
        <v>64</v>
      </c>
      <c r="H182" s="40" t="n">
        <v>32</v>
      </c>
      <c r="I182" s="40" t="n">
        <v>32</v>
      </c>
      <c r="J182" s="40" t="n">
        <v>64</v>
      </c>
      <c r="K182" s="122" t="n">
        <v>77684</v>
      </c>
      <c r="L182" s="118">
        <f>ROUND(B182*C182*D182/2048/K182*100,1)/100</f>
        <v/>
      </c>
      <c r="M182" s="124">
        <f>IF(OR(E182="",F182="",G182=""),"",((H182+I182)*1024)/(E182*F182*G182/2048))</f>
        <v/>
      </c>
      <c r="N182" s="124">
        <f>IF(OR(E182="",F182="",G182=""),"",(E182*F182*4)/(E182*F182*G182/2048))</f>
        <v/>
      </c>
      <c r="O182" s="123">
        <f>IF(AND(ISNUMBER(M182),M182&gt;0),MIN(1,128/M182),"")</f>
        <v/>
      </c>
      <c r="P182" s="123">
        <f>IF(AND(ISNUMBER(N182),N182&gt;0),MIN(1,512/N182),"")</f>
        <v/>
      </c>
      <c r="Q182" s="123">
        <f>IF(AND(ISNUMBER(O182),ISNUMBER(P182)),MIN(O182,P182),"")</f>
        <v/>
      </c>
      <c r="R182" s="124">
        <f>IF(AND(ISNUMBER(L182),ISNUMBER(Q182)),(L182-Q182)*100,"")</f>
        <v/>
      </c>
      <c r="S182" s="91" t="inlineStr">
        <is>
          <t>PASS</t>
        </is>
      </c>
      <c r="T182" t="inlineStr">
        <is>
          <t>本轮 model-main 9b3a4405 + 8参数(256KB ShareTReg) 2026-09-22</t>
        </is>
      </c>
    </row>
    <row r="183" ht="20" customHeight="1">
      <c r="A183" s="39" t="inlineStr">
        <is>
          <t>FP32</t>
        </is>
      </c>
      <c r="B183" s="40" t="n">
        <v>64</v>
      </c>
      <c r="C183" s="40" t="n">
        <v>128</v>
      </c>
      <c r="D183" s="40" t="n">
        <v>7168</v>
      </c>
      <c r="E183" s="40" t="n">
        <v>128</v>
      </c>
      <c r="F183" s="40" t="n">
        <v>128</v>
      </c>
      <c r="G183" s="40" t="n">
        <v>128</v>
      </c>
      <c r="H183" s="40" t="n">
        <v>64</v>
      </c>
      <c r="I183" s="40" t="n">
        <v>64</v>
      </c>
      <c r="J183" s="40" t="n">
        <v>128</v>
      </c>
      <c r="K183" s="122" t="n">
        <v>78072</v>
      </c>
      <c r="L183" s="123">
        <f>ROUND(B183*C183*D183/2048/K183*100,1)/100</f>
        <v/>
      </c>
      <c r="M183" s="124">
        <f>IF(OR(E183="",F183="",G183=""),"",((H183+I183)*1024)/(E183*F183*G183/2048))</f>
        <v/>
      </c>
      <c r="N183" s="124">
        <f>IF(OR(E183="",F183="",G183=""),"",(E183*F183*4)/(E183*F183*G183/2048))</f>
        <v/>
      </c>
      <c r="O183" s="123">
        <f>IF(AND(ISNUMBER(M183),M183&gt;0),MIN(1,128/M183),"")</f>
        <v/>
      </c>
      <c r="P183" s="123">
        <f>IF(AND(ISNUMBER(N183),N183&gt;0),MIN(1,512/N183),"")</f>
        <v/>
      </c>
      <c r="Q183" s="123">
        <f>IF(AND(ISNUMBER(O183),ISNUMBER(P183)),MIN(O183,P183),"")</f>
        <v/>
      </c>
      <c r="R183" s="124">
        <f>IF(AND(ISNUMBER(L183),ISNUMBER(Q183)),(L183-Q183)*100,"")</f>
        <v/>
      </c>
      <c r="S183" s="91" t="inlineStr">
        <is>
          <t>PASS</t>
        </is>
      </c>
      <c r="T183" t="inlineStr">
        <is>
          <t>本轮 model-main 9b3a4405 + 8参数(256KB ShareTReg) 2026-09-22</t>
        </is>
      </c>
    </row>
    <row r="184" ht="20" customHeight="1">
      <c r="A184" s="39" t="inlineStr">
        <is>
          <t>FP32</t>
        </is>
      </c>
      <c r="B184" s="40" t="n">
        <v>64</v>
      </c>
      <c r="C184" s="40" t="n">
        <v>128</v>
      </c>
      <c r="D184" s="40" t="n">
        <v>7168</v>
      </c>
      <c r="E184" s="40" t="n">
        <v>128</v>
      </c>
      <c r="F184" s="40" t="n">
        <v>128</v>
      </c>
      <c r="G184" s="40" t="n">
        <v>256</v>
      </c>
      <c r="H184" s="40" t="n">
        <v>128</v>
      </c>
      <c r="I184" s="40" t="n">
        <v>128</v>
      </c>
      <c r="J184" s="40" t="n">
        <v>256</v>
      </c>
      <c r="K184" s="122" t="n">
        <v>131034</v>
      </c>
      <c r="L184" s="123">
        <f>ROUND(B184*C184*D184/2048/K184*100,1)/100</f>
        <v/>
      </c>
      <c r="M184" s="124">
        <f>IF(OR(E184="",F184="",G184=""),"",((H184+I184)*1024)/(E184*F184*G184/2048))</f>
        <v/>
      </c>
      <c r="N184" s="124">
        <f>IF(OR(E184="",F184="",G184=""),"",(E184*F184*4)/(E184*F184*G184/2048))</f>
        <v/>
      </c>
      <c r="O184" s="123">
        <f>IF(AND(ISNUMBER(M184),M184&gt;0),MIN(1,128/M184),"")</f>
        <v/>
      </c>
      <c r="P184" s="123">
        <f>IF(AND(ISNUMBER(N184),N184&gt;0),MIN(1,512/N184),"")</f>
        <v/>
      </c>
      <c r="Q184" s="123">
        <f>IF(AND(ISNUMBER(O184),ISNUMBER(P184)),MIN(O184,P184),"")</f>
        <v/>
      </c>
      <c r="R184" s="124">
        <f>IF(AND(ISNUMBER(L184),ISNUMBER(Q184)),(L184-Q184)*100,"")</f>
        <v/>
      </c>
      <c r="S184" s="91" t="inlineStr">
        <is>
          <t>PASS</t>
        </is>
      </c>
      <c r="T184" t="inlineStr">
        <is>
          <t>本轮 model-main 9b3a4405 + 8参数(256KB ShareTReg) 2026-09-22</t>
        </is>
      </c>
    </row>
    <row r="185" ht="20" customHeight="1">
      <c r="A185" s="39" t="inlineStr">
        <is>
          <t>FP32</t>
        </is>
      </c>
      <c r="B185" s="40" t="n">
        <v>64</v>
      </c>
      <c r="C185" s="40" t="n">
        <v>128</v>
      </c>
      <c r="D185" s="40" t="n">
        <v>7168</v>
      </c>
      <c r="E185" s="40" t="n">
        <v>128</v>
      </c>
      <c r="F185" s="40" t="n">
        <v>128</v>
      </c>
      <c r="G185" s="40" t="n">
        <v>512</v>
      </c>
      <c r="H185" s="40" t="n">
        <v>256</v>
      </c>
      <c r="I185" s="40" t="n">
        <v>256</v>
      </c>
      <c r="J185" s="40" t="n">
        <v>512</v>
      </c>
      <c r="K185" s="122" t="inlineStr">
        <is>
          <t>—</t>
        </is>
      </c>
      <c r="L185" s="123" t="n"/>
      <c r="M185" s="124">
        <f>IF(OR(E185="",F185="",G185=""),"",((H185+I185)*1024)/(E185*F185*G185/2048))</f>
        <v/>
      </c>
      <c r="N185" s="124">
        <f>IF(OR(E185="",F185="",G185=""),"",(E185*F185*4)/(E185*F185*G185/2048))</f>
        <v/>
      </c>
      <c r="O185" s="123">
        <f>IF(AND(ISNUMBER(M185),M185&gt;0),MIN(1,128/M185),"")</f>
        <v/>
      </c>
      <c r="P185" s="123">
        <f>IF(AND(ISNUMBER(N185),N185&gt;0),MIN(1,512/N185),"")</f>
        <v/>
      </c>
      <c r="Q185" s="123">
        <f>IF(AND(ISNUMBER(O185),ISNUMBER(P185)),MIN(O185,P185),"")</f>
        <v/>
      </c>
      <c r="R185" s="124" t="n"/>
      <c r="S185" s="96" t="inlineStr">
        <is>
          <t>COMPILE_FAIL</t>
        </is>
      </c>
      <c r="T185" t="inlineStr">
        <is>
          <t>容量超限：完整 SharedTile 足迹 &gt; 256 KiB；本轮 model-main 9b3a4405 + 8参数(256KB ShareTReg) 2026-09-22</t>
        </is>
      </c>
    </row>
    <row r="186" ht="23" customHeight="1">
      <c r="A186" s="81" t="inlineStr">
        <is>
          <t>BF16</t>
        </is>
      </c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112" t="n"/>
      <c r="L186" s="113" t="n"/>
      <c r="M186" s="114" t="n"/>
      <c r="N186" s="114" t="n"/>
      <c r="O186" s="113" t="n"/>
      <c r="P186" s="113" t="n"/>
      <c r="Q186" s="113" t="n"/>
      <c r="R186" s="114" t="n"/>
      <c r="S186" s="86" t="n"/>
    </row>
    <row r="187" ht="20" customHeight="1">
      <c r="A187" s="45" t="inlineStr">
        <is>
          <t>BF16</t>
        </is>
      </c>
      <c r="B187" s="46" t="n">
        <v>64</v>
      </c>
      <c r="C187" s="46" t="n">
        <v>128</v>
      </c>
      <c r="D187" s="46" t="n">
        <v>7168</v>
      </c>
      <c r="E187" s="46" t="n">
        <v>128</v>
      </c>
      <c r="F187" s="46" t="n">
        <v>64</v>
      </c>
      <c r="G187" s="46" t="n">
        <v>64</v>
      </c>
      <c r="H187" s="46" t="n">
        <v>16</v>
      </c>
      <c r="I187" s="46" t="n">
        <v>8</v>
      </c>
      <c r="J187" s="46" t="n">
        <v>24</v>
      </c>
      <c r="K187" s="125" t="n">
        <v>52307</v>
      </c>
      <c r="L187" s="126">
        <f>ROUND(B187*C187*D187/4096/K187*100,1)/100</f>
        <v/>
      </c>
      <c r="M187" s="127">
        <f>IF(OR(E187="",F187="",G187=""),"",((H187+I187)*1024)/(E187*F187*G187/4096))</f>
        <v/>
      </c>
      <c r="N187" s="127">
        <f>IF(OR(E187="",F187="",G187=""),"",(E187*F187*4)/(E187*F187*G187/4096))</f>
        <v/>
      </c>
      <c r="O187" s="126">
        <f>IF(AND(ISNUMBER(M187),M187&gt;0),MIN(1,128/M187),"")</f>
        <v/>
      </c>
      <c r="P187" s="126">
        <f>IF(AND(ISNUMBER(N187),N187&gt;0),MIN(1,512/N187),"")</f>
        <v/>
      </c>
      <c r="Q187" s="126">
        <f>IF(AND(ISNUMBER(O187),ISNUMBER(P187)),MIN(O187,P187),"")</f>
        <v/>
      </c>
      <c r="R187" s="127">
        <f>IF(AND(ISNUMBER(L187),ISNUMBER(Q187)),(L187-Q187)*100,"")</f>
        <v/>
      </c>
      <c r="S187" s="92" t="inlineStr">
        <is>
          <t>PASS</t>
        </is>
      </c>
      <c r="T187" t="inlineStr">
        <is>
          <t>本轮 model-main 9b3a4405 + 8参数(256KB ShareTReg) 2026-09-22</t>
        </is>
      </c>
    </row>
    <row r="188" ht="20" customHeight="1">
      <c r="A188" s="45" t="inlineStr">
        <is>
          <t>BF16</t>
        </is>
      </c>
      <c r="B188" s="46" t="n">
        <v>64</v>
      </c>
      <c r="C188" s="46" t="n">
        <v>128</v>
      </c>
      <c r="D188" s="46" t="n">
        <v>7168</v>
      </c>
      <c r="E188" s="46" t="n">
        <v>128</v>
      </c>
      <c r="F188" s="46" t="n">
        <v>64</v>
      </c>
      <c r="G188" s="46" t="n">
        <v>128</v>
      </c>
      <c r="H188" s="46" t="n">
        <v>32</v>
      </c>
      <c r="I188" s="46" t="n">
        <v>16</v>
      </c>
      <c r="J188" s="46" t="n">
        <v>48</v>
      </c>
      <c r="K188" s="125" t="n">
        <v>52153</v>
      </c>
      <c r="L188" s="126">
        <f>ROUND(B188*C188*D188/4096/K188*100,1)/100</f>
        <v/>
      </c>
      <c r="M188" s="127">
        <f>IF(OR(E188="",F188="",G188=""),"",((H188+I188)*1024)/(E188*F188*G188/4096))</f>
        <v/>
      </c>
      <c r="N188" s="127">
        <f>IF(OR(E188="",F188="",G188=""),"",(E188*F188*4)/(E188*F188*G188/4096))</f>
        <v/>
      </c>
      <c r="O188" s="126">
        <f>IF(AND(ISNUMBER(M188),M188&gt;0),MIN(1,128/M188),"")</f>
        <v/>
      </c>
      <c r="P188" s="126">
        <f>IF(AND(ISNUMBER(N188),N188&gt;0),MIN(1,512/N188),"")</f>
        <v/>
      </c>
      <c r="Q188" s="126">
        <f>IF(AND(ISNUMBER(O188),ISNUMBER(P188)),MIN(O188,P188),"")</f>
        <v/>
      </c>
      <c r="R188" s="127">
        <f>IF(AND(ISNUMBER(L188),ISNUMBER(Q188)),(L188-Q188)*100,"")</f>
        <v/>
      </c>
      <c r="S188" s="92" t="inlineStr">
        <is>
          <t>PASS</t>
        </is>
      </c>
      <c r="T188" t="inlineStr">
        <is>
          <t>本轮 model-main 9b3a4405 + 8参数(256KB ShareTReg) 2026-09-22</t>
        </is>
      </c>
    </row>
    <row r="189" ht="20" customHeight="1">
      <c r="A189" s="45" t="inlineStr">
        <is>
          <t>BF16</t>
        </is>
      </c>
      <c r="B189" s="46" t="n">
        <v>64</v>
      </c>
      <c r="C189" s="46" t="n">
        <v>128</v>
      </c>
      <c r="D189" s="46" t="n">
        <v>7168</v>
      </c>
      <c r="E189" s="46" t="n">
        <v>128</v>
      </c>
      <c r="F189" s="46" t="n">
        <v>64</v>
      </c>
      <c r="G189" s="46" t="n">
        <v>256</v>
      </c>
      <c r="H189" s="46" t="n">
        <v>64</v>
      </c>
      <c r="I189" s="46" t="n">
        <v>32</v>
      </c>
      <c r="J189" s="46" t="n">
        <v>96</v>
      </c>
      <c r="K189" s="125" t="n">
        <v>52435</v>
      </c>
      <c r="L189" s="126">
        <f>ROUND(B189*C189*D189/4096/K189*100,1)/100</f>
        <v/>
      </c>
      <c r="M189" s="127">
        <f>IF(OR(E189="",F189="",G189=""),"",((H189+I189)*1024)/(E189*F189*G189/4096))</f>
        <v/>
      </c>
      <c r="N189" s="127">
        <f>IF(OR(E189="",F189="",G189=""),"",(E189*F189*4)/(E189*F189*G189/4096))</f>
        <v/>
      </c>
      <c r="O189" s="126">
        <f>IF(AND(ISNUMBER(M189),M189&gt;0),MIN(1,128/M189),"")</f>
        <v/>
      </c>
      <c r="P189" s="126">
        <f>IF(AND(ISNUMBER(N189),N189&gt;0),MIN(1,512/N189),"")</f>
        <v/>
      </c>
      <c r="Q189" s="126">
        <f>IF(AND(ISNUMBER(O189),ISNUMBER(P189)),MIN(O189,P189),"")</f>
        <v/>
      </c>
      <c r="R189" s="127">
        <f>IF(AND(ISNUMBER(L189),ISNUMBER(Q189)),(L189-Q189)*100,"")</f>
        <v/>
      </c>
      <c r="S189" s="92" t="inlineStr">
        <is>
          <t>PASS</t>
        </is>
      </c>
      <c r="T189" t="inlineStr">
        <is>
          <t>本轮 model-main 9b3a4405 + 8参数(256KB ShareTReg) 2026-09-22</t>
        </is>
      </c>
    </row>
    <row r="190" ht="20" customHeight="1">
      <c r="A190" s="45" t="inlineStr">
        <is>
          <t>BF16</t>
        </is>
      </c>
      <c r="B190" s="46" t="n">
        <v>64</v>
      </c>
      <c r="C190" s="46" t="n">
        <v>128</v>
      </c>
      <c r="D190" s="46" t="n">
        <v>7168</v>
      </c>
      <c r="E190" s="46" t="n">
        <v>128</v>
      </c>
      <c r="F190" s="46" t="n">
        <v>64</v>
      </c>
      <c r="G190" s="46" t="n">
        <v>512</v>
      </c>
      <c r="H190" s="46" t="n">
        <v>128</v>
      </c>
      <c r="I190" s="46" t="n">
        <v>64</v>
      </c>
      <c r="J190" s="46" t="n">
        <v>192</v>
      </c>
      <c r="K190" s="125" t="n">
        <v>91104</v>
      </c>
      <c r="L190" s="126">
        <f>ROUND(B190*C190*D190/4096/K190*100,1)/100</f>
        <v/>
      </c>
      <c r="M190" s="127">
        <f>IF(OR(E190="",F190="",G190=""),"",((H190+I190)*1024)/(E190*F190*G190/4096))</f>
        <v/>
      </c>
      <c r="N190" s="127">
        <f>IF(OR(E190="",F190="",G190=""),"",(E190*F190*4)/(E190*F190*G190/4096))</f>
        <v/>
      </c>
      <c r="O190" s="126">
        <f>IF(AND(ISNUMBER(M190),M190&gt;0),MIN(1,128/M190),"")</f>
        <v/>
      </c>
      <c r="P190" s="126">
        <f>IF(AND(ISNUMBER(N190),N190&gt;0),MIN(1,512/N190),"")</f>
        <v/>
      </c>
      <c r="Q190" s="126">
        <f>IF(AND(ISNUMBER(O190),ISNUMBER(P190)),MIN(O190,P190),"")</f>
        <v/>
      </c>
      <c r="R190" s="127">
        <f>IF(AND(ISNUMBER(L190),ISNUMBER(Q190)),(L190-Q190)*100,"")</f>
        <v/>
      </c>
      <c r="S190" s="92" t="inlineStr">
        <is>
          <t>PASS</t>
        </is>
      </c>
      <c r="T190" t="inlineStr">
        <is>
          <t>本轮 model-main 9b3a4405 + 8参数(256KB ShareTReg) 2026-09-22</t>
        </is>
      </c>
    </row>
    <row r="191" ht="20" customHeight="1">
      <c r="A191" s="45" t="inlineStr">
        <is>
          <t>BF16</t>
        </is>
      </c>
      <c r="B191" s="46" t="n">
        <v>64</v>
      </c>
      <c r="C191" s="46" t="n">
        <v>128</v>
      </c>
      <c r="D191" s="46" t="n">
        <v>7168</v>
      </c>
      <c r="E191" s="46" t="n">
        <v>128</v>
      </c>
      <c r="F191" s="46" t="n">
        <v>128</v>
      </c>
      <c r="G191" s="46" t="n">
        <v>64</v>
      </c>
      <c r="H191" s="46" t="n">
        <v>16</v>
      </c>
      <c r="I191" s="46" t="n">
        <v>16</v>
      </c>
      <c r="J191" s="46" t="n">
        <v>32</v>
      </c>
      <c r="K191" s="125" t="n">
        <v>39595</v>
      </c>
      <c r="L191" s="126">
        <f>ROUND(B191*C191*D191/4096/K191*100,1)/100</f>
        <v/>
      </c>
      <c r="M191" s="127">
        <f>IF(OR(E191="",F191="",G191=""),"",((H191+I191)*1024)/(E191*F191*G191/4096))</f>
        <v/>
      </c>
      <c r="N191" s="127">
        <f>IF(OR(E191="",F191="",G191=""),"",(E191*F191*4)/(E191*F191*G191/4096))</f>
        <v/>
      </c>
      <c r="O191" s="126">
        <f>IF(AND(ISNUMBER(M191),M191&gt;0),MIN(1,128/M191),"")</f>
        <v/>
      </c>
      <c r="P191" s="126">
        <f>IF(AND(ISNUMBER(N191),N191&gt;0),MIN(1,512/N191),"")</f>
        <v/>
      </c>
      <c r="Q191" s="126">
        <f>IF(AND(ISNUMBER(O191),ISNUMBER(P191)),MIN(O191,P191),"")</f>
        <v/>
      </c>
      <c r="R191" s="127">
        <f>IF(AND(ISNUMBER(L191),ISNUMBER(Q191)),(L191-Q191)*100,"")</f>
        <v/>
      </c>
      <c r="S191" s="92" t="inlineStr">
        <is>
          <t>PASS</t>
        </is>
      </c>
      <c r="T191" t="inlineStr">
        <is>
          <t>本轮 model-main 9b3a4405 + 8参数(256KB ShareTReg) 2026-09-22</t>
        </is>
      </c>
    </row>
    <row r="192" ht="20" customHeight="1">
      <c r="A192" s="45" t="inlineStr">
        <is>
          <t>BF16</t>
        </is>
      </c>
      <c r="B192" s="46" t="n">
        <v>64</v>
      </c>
      <c r="C192" s="46" t="n">
        <v>128</v>
      </c>
      <c r="D192" s="46" t="n">
        <v>7168</v>
      </c>
      <c r="E192" s="104" t="n">
        <v>128</v>
      </c>
      <c r="F192" s="104" t="n">
        <v>128</v>
      </c>
      <c r="G192" s="104" t="n">
        <v>128</v>
      </c>
      <c r="H192" s="46" t="n">
        <v>32</v>
      </c>
      <c r="I192" s="46" t="n">
        <v>32</v>
      </c>
      <c r="J192" s="46" t="n">
        <v>64</v>
      </c>
      <c r="K192" s="125" t="n">
        <v>39759</v>
      </c>
      <c r="L192" s="118">
        <f>ROUND(B192*C192*D192/4096/K192*100,1)/100</f>
        <v/>
      </c>
      <c r="M192" s="127">
        <f>IF(OR(E192="",F192="",G192=""),"",((H192+I192)*1024)/(E192*F192*G192/4096))</f>
        <v/>
      </c>
      <c r="N192" s="127">
        <f>IF(OR(E192="",F192="",G192=""),"",(E192*F192*4)/(E192*F192*G192/4096))</f>
        <v/>
      </c>
      <c r="O192" s="126">
        <f>IF(AND(ISNUMBER(M192),M192&gt;0),MIN(1,128/M192),"")</f>
        <v/>
      </c>
      <c r="P192" s="126">
        <f>IF(AND(ISNUMBER(N192),N192&gt;0),MIN(1,512/N192),"")</f>
        <v/>
      </c>
      <c r="Q192" s="126">
        <f>IF(AND(ISNUMBER(O192),ISNUMBER(P192)),MIN(O192,P192),"")</f>
        <v/>
      </c>
      <c r="R192" s="127">
        <f>IF(AND(ISNUMBER(L192),ISNUMBER(Q192)),(L192-Q192)*100,"")</f>
        <v/>
      </c>
      <c r="S192" s="92" t="inlineStr">
        <is>
          <t>PASS</t>
        </is>
      </c>
      <c r="T192" t="inlineStr">
        <is>
          <t>本轮 model-main 9b3a4405 + 8参数(256KB ShareTReg) 2026-09-22</t>
        </is>
      </c>
    </row>
    <row r="193" ht="20" customHeight="1">
      <c r="A193" s="45" t="inlineStr">
        <is>
          <t>BF16</t>
        </is>
      </c>
      <c r="B193" s="46" t="n">
        <v>64</v>
      </c>
      <c r="C193" s="46" t="n">
        <v>128</v>
      </c>
      <c r="D193" s="46" t="n">
        <v>7168</v>
      </c>
      <c r="E193" s="46" t="n">
        <v>128</v>
      </c>
      <c r="F193" s="46" t="n">
        <v>128</v>
      </c>
      <c r="G193" s="46" t="n">
        <v>256</v>
      </c>
      <c r="H193" s="46" t="n">
        <v>64</v>
      </c>
      <c r="I193" s="46" t="n">
        <v>64</v>
      </c>
      <c r="J193" s="46" t="n">
        <v>128</v>
      </c>
      <c r="K193" s="125" t="n">
        <v>40098</v>
      </c>
      <c r="L193" s="126">
        <f>ROUND(B193*C193*D193/4096/K193*100,1)/100</f>
        <v/>
      </c>
      <c r="M193" s="127">
        <f>IF(OR(E193="",F193="",G193=""),"",((H193+I193)*1024)/(E193*F193*G193/4096))</f>
        <v/>
      </c>
      <c r="N193" s="127">
        <f>IF(OR(E193="",F193="",G193=""),"",(E193*F193*4)/(E193*F193*G193/4096))</f>
        <v/>
      </c>
      <c r="O193" s="126">
        <f>IF(AND(ISNUMBER(M193),M193&gt;0),MIN(1,128/M193),"")</f>
        <v/>
      </c>
      <c r="P193" s="126">
        <f>IF(AND(ISNUMBER(N193),N193&gt;0),MIN(1,512/N193),"")</f>
        <v/>
      </c>
      <c r="Q193" s="126">
        <f>IF(AND(ISNUMBER(O193),ISNUMBER(P193)),MIN(O193,P193),"")</f>
        <v/>
      </c>
      <c r="R193" s="127">
        <f>IF(AND(ISNUMBER(L193),ISNUMBER(Q193)),(L193-Q193)*100,"")</f>
        <v/>
      </c>
      <c r="S193" s="92" t="inlineStr">
        <is>
          <t>PASS</t>
        </is>
      </c>
      <c r="T193" t="inlineStr">
        <is>
          <t>本轮 model-main 9b3a4405 + 8参数(256KB ShareTReg) 2026-09-22</t>
        </is>
      </c>
    </row>
    <row r="194" ht="20" customHeight="1">
      <c r="A194" s="45" t="inlineStr">
        <is>
          <t>BF16</t>
        </is>
      </c>
      <c r="B194" s="46" t="n">
        <v>64</v>
      </c>
      <c r="C194" s="46" t="n">
        <v>128</v>
      </c>
      <c r="D194" s="46" t="n">
        <v>7168</v>
      </c>
      <c r="E194" s="46" t="n">
        <v>128</v>
      </c>
      <c r="F194" s="46" t="n">
        <v>128</v>
      </c>
      <c r="G194" s="46" t="n">
        <v>512</v>
      </c>
      <c r="H194" s="46" t="n">
        <v>128</v>
      </c>
      <c r="I194" s="46" t="n">
        <v>128</v>
      </c>
      <c r="J194" s="46" t="n">
        <v>256</v>
      </c>
      <c r="K194" s="125" t="n">
        <v>66084</v>
      </c>
      <c r="L194" s="126">
        <f>ROUND(B194*C194*D194/4096/K194*100,1)/100</f>
        <v/>
      </c>
      <c r="M194" s="127">
        <f>IF(OR(E194="",F194="",G194=""),"",((H194+I194)*1024)/(E194*F194*G194/4096))</f>
        <v/>
      </c>
      <c r="N194" s="127">
        <f>IF(OR(E194="",F194="",G194=""),"",(E194*F194*4)/(E194*F194*G194/4096))</f>
        <v/>
      </c>
      <c r="O194" s="126">
        <f>IF(AND(ISNUMBER(M194),M194&gt;0),MIN(1,128/M194),"")</f>
        <v/>
      </c>
      <c r="P194" s="126">
        <f>IF(AND(ISNUMBER(N194),N194&gt;0),MIN(1,512/N194),"")</f>
        <v/>
      </c>
      <c r="Q194" s="126">
        <f>IF(AND(ISNUMBER(O194),ISNUMBER(P194)),MIN(O194,P194),"")</f>
        <v/>
      </c>
      <c r="R194" s="127">
        <f>IF(AND(ISNUMBER(L194),ISNUMBER(Q194)),(L194-Q194)*100,"")</f>
        <v/>
      </c>
      <c r="S194" s="92" t="inlineStr">
        <is>
          <t>PASS</t>
        </is>
      </c>
      <c r="T194" t="inlineStr">
        <is>
          <t>本轮 model-main 9b3a4405 + 8参数(256KB ShareTReg) 2026-09-22</t>
        </is>
      </c>
    </row>
    <row r="195" ht="23" customHeight="1">
      <c r="A195" s="81" t="inlineStr">
        <is>
          <t>FP16</t>
        </is>
      </c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112" t="n"/>
      <c r="L195" s="113" t="n"/>
      <c r="M195" s="114" t="n"/>
      <c r="N195" s="114" t="n"/>
      <c r="O195" s="113" t="n"/>
      <c r="P195" s="113" t="n"/>
      <c r="Q195" s="113" t="n"/>
      <c r="R195" s="114" t="n"/>
      <c r="S195" s="86" t="n"/>
    </row>
    <row r="196" ht="20" customHeight="1">
      <c r="A196" s="27" t="inlineStr">
        <is>
          <t>FP16</t>
        </is>
      </c>
      <c r="B196" s="28" t="n">
        <v>64</v>
      </c>
      <c r="C196" s="28" t="n">
        <v>128</v>
      </c>
      <c r="D196" s="28" t="n">
        <v>7168</v>
      </c>
      <c r="E196" s="28" t="n">
        <v>128</v>
      </c>
      <c r="F196" s="28" t="n">
        <v>64</v>
      </c>
      <c r="G196" s="28" t="n">
        <v>64</v>
      </c>
      <c r="H196" s="28" t="n">
        <v>16</v>
      </c>
      <c r="I196" s="28" t="n">
        <v>8</v>
      </c>
      <c r="J196" s="28" t="n">
        <v>24</v>
      </c>
      <c r="K196" s="115" t="n">
        <v>52307</v>
      </c>
      <c r="L196" s="116">
        <f>ROUND(B196*C196*D196/4096/K196*100,1)/100</f>
        <v/>
      </c>
      <c r="M196" s="117">
        <f>IF(OR(E196="",F196="",G196=""),"",((H196+I196)*1024)/(E196*F196*G196/4096))</f>
        <v/>
      </c>
      <c r="N196" s="117">
        <f>IF(OR(E196="",F196="",G196=""),"",(E196*F196*4)/(E196*F196*G196/4096))</f>
        <v/>
      </c>
      <c r="O196" s="116">
        <f>IF(AND(ISNUMBER(M196),M196&gt;0),MIN(1,128/M196),"")</f>
        <v/>
      </c>
      <c r="P196" s="116">
        <f>IF(AND(ISNUMBER(N196),N196&gt;0),MIN(1,512/N196),"")</f>
        <v/>
      </c>
      <c r="Q196" s="116">
        <f>IF(AND(ISNUMBER(O196),ISNUMBER(P196)),MIN(O196,P196),"")</f>
        <v/>
      </c>
      <c r="R196" s="117">
        <f>IF(AND(ISNUMBER(L196),ISNUMBER(Q196)),(L196-Q196)*100,"")</f>
        <v/>
      </c>
      <c r="S196" s="87" t="inlineStr">
        <is>
          <t>PASS</t>
        </is>
      </c>
      <c r="T196" t="inlineStr">
        <is>
          <t>本轮 model-main 9b3a4405 + 8参数(256KB ShareTReg) 2026-09-22</t>
        </is>
      </c>
    </row>
    <row r="197" ht="20" customHeight="1">
      <c r="A197" s="27" t="inlineStr">
        <is>
          <t>FP16</t>
        </is>
      </c>
      <c r="B197" s="28" t="n">
        <v>64</v>
      </c>
      <c r="C197" s="28" t="n">
        <v>128</v>
      </c>
      <c r="D197" s="28" t="n">
        <v>7168</v>
      </c>
      <c r="E197" s="28" t="n">
        <v>128</v>
      </c>
      <c r="F197" s="28" t="n">
        <v>64</v>
      </c>
      <c r="G197" s="28" t="n">
        <v>128</v>
      </c>
      <c r="H197" s="28" t="n">
        <v>32</v>
      </c>
      <c r="I197" s="28" t="n">
        <v>16</v>
      </c>
      <c r="J197" s="28" t="n">
        <v>48</v>
      </c>
      <c r="K197" s="115" t="n">
        <v>52153</v>
      </c>
      <c r="L197" s="116">
        <f>ROUND(B197*C197*D197/4096/K197*100,1)/100</f>
        <v/>
      </c>
      <c r="M197" s="117">
        <f>IF(OR(E197="",F197="",G197=""),"",((H197+I197)*1024)/(E197*F197*G197/4096))</f>
        <v/>
      </c>
      <c r="N197" s="117">
        <f>IF(OR(E197="",F197="",G197=""),"",(E197*F197*4)/(E197*F197*G197/4096))</f>
        <v/>
      </c>
      <c r="O197" s="116">
        <f>IF(AND(ISNUMBER(M197),M197&gt;0),MIN(1,128/M197),"")</f>
        <v/>
      </c>
      <c r="P197" s="116">
        <f>IF(AND(ISNUMBER(N197),N197&gt;0),MIN(1,512/N197),"")</f>
        <v/>
      </c>
      <c r="Q197" s="116">
        <f>IF(AND(ISNUMBER(O197),ISNUMBER(P197)),MIN(O197,P197),"")</f>
        <v/>
      </c>
      <c r="R197" s="117">
        <f>IF(AND(ISNUMBER(L197),ISNUMBER(Q197)),(L197-Q197)*100,"")</f>
        <v/>
      </c>
      <c r="S197" s="87" t="inlineStr">
        <is>
          <t>PASS</t>
        </is>
      </c>
      <c r="T197" t="inlineStr">
        <is>
          <t>本轮 model-main 9b3a4405 + 8参数(256KB ShareTReg) 2026-09-22</t>
        </is>
      </c>
    </row>
    <row r="198" ht="20" customHeight="1">
      <c r="A198" s="27" t="inlineStr">
        <is>
          <t>FP16</t>
        </is>
      </c>
      <c r="B198" s="28" t="n">
        <v>64</v>
      </c>
      <c r="C198" s="28" t="n">
        <v>128</v>
      </c>
      <c r="D198" s="28" t="n">
        <v>7168</v>
      </c>
      <c r="E198" s="28" t="n">
        <v>128</v>
      </c>
      <c r="F198" s="28" t="n">
        <v>64</v>
      </c>
      <c r="G198" s="28" t="n">
        <v>256</v>
      </c>
      <c r="H198" s="28" t="n">
        <v>64</v>
      </c>
      <c r="I198" s="28" t="n">
        <v>32</v>
      </c>
      <c r="J198" s="28" t="n">
        <v>96</v>
      </c>
      <c r="K198" s="115" t="n">
        <v>52435</v>
      </c>
      <c r="L198" s="116">
        <f>ROUND(B198*C198*D198/4096/K198*100,1)/100</f>
        <v/>
      </c>
      <c r="M198" s="117">
        <f>IF(OR(E198="",F198="",G198=""),"",((H198+I198)*1024)/(E198*F198*G198/4096))</f>
        <v/>
      </c>
      <c r="N198" s="117">
        <f>IF(OR(E198="",F198="",G198=""),"",(E198*F198*4)/(E198*F198*G198/4096))</f>
        <v/>
      </c>
      <c r="O198" s="116">
        <f>IF(AND(ISNUMBER(M198),M198&gt;0),MIN(1,128/M198),"")</f>
        <v/>
      </c>
      <c r="P198" s="116">
        <f>IF(AND(ISNUMBER(N198),N198&gt;0),MIN(1,512/N198),"")</f>
        <v/>
      </c>
      <c r="Q198" s="116">
        <f>IF(AND(ISNUMBER(O198),ISNUMBER(P198)),MIN(O198,P198),"")</f>
        <v/>
      </c>
      <c r="R198" s="117">
        <f>IF(AND(ISNUMBER(L198),ISNUMBER(Q198)),(L198-Q198)*100,"")</f>
        <v/>
      </c>
      <c r="S198" s="87" t="inlineStr">
        <is>
          <t>PASS</t>
        </is>
      </c>
      <c r="T198" t="inlineStr">
        <is>
          <t>本轮 model-main 9b3a4405 + 8参数(256KB ShareTReg) 2026-09-22</t>
        </is>
      </c>
    </row>
    <row r="199" ht="20" customHeight="1">
      <c r="A199" s="27" t="inlineStr">
        <is>
          <t>FP16</t>
        </is>
      </c>
      <c r="B199" s="28" t="n">
        <v>64</v>
      </c>
      <c r="C199" s="28" t="n">
        <v>128</v>
      </c>
      <c r="D199" s="28" t="n">
        <v>7168</v>
      </c>
      <c r="E199" s="28" t="n">
        <v>128</v>
      </c>
      <c r="F199" s="28" t="n">
        <v>64</v>
      </c>
      <c r="G199" s="28" t="n">
        <v>512</v>
      </c>
      <c r="H199" s="28" t="n">
        <v>128</v>
      </c>
      <c r="I199" s="28" t="n">
        <v>64</v>
      </c>
      <c r="J199" s="28" t="n">
        <v>192</v>
      </c>
      <c r="K199" s="115" t="n">
        <v>91104</v>
      </c>
      <c r="L199" s="116">
        <f>ROUND(B199*C199*D199/4096/K199*100,1)/100</f>
        <v/>
      </c>
      <c r="M199" s="117">
        <f>IF(OR(E199="",F199="",G199=""),"",((H199+I199)*1024)/(E199*F199*G199/4096))</f>
        <v/>
      </c>
      <c r="N199" s="117">
        <f>IF(OR(E199="",F199="",G199=""),"",(E199*F199*4)/(E199*F199*G199/4096))</f>
        <v/>
      </c>
      <c r="O199" s="116">
        <f>IF(AND(ISNUMBER(M199),M199&gt;0),MIN(1,128/M199),"")</f>
        <v/>
      </c>
      <c r="P199" s="116">
        <f>IF(AND(ISNUMBER(N199),N199&gt;0),MIN(1,512/N199),"")</f>
        <v/>
      </c>
      <c r="Q199" s="116">
        <f>IF(AND(ISNUMBER(O199),ISNUMBER(P199)),MIN(O199,P199),"")</f>
        <v/>
      </c>
      <c r="R199" s="117">
        <f>IF(AND(ISNUMBER(L199),ISNUMBER(Q199)),(L199-Q199)*100,"")</f>
        <v/>
      </c>
      <c r="S199" s="87" t="inlineStr">
        <is>
          <t>PASS</t>
        </is>
      </c>
      <c r="T199" t="inlineStr">
        <is>
          <t>本轮 model-main 9b3a4405 + 8参数(256KB ShareTReg) 2026-09-22</t>
        </is>
      </c>
    </row>
    <row r="200" ht="20" customHeight="1">
      <c r="A200" s="27" t="inlineStr">
        <is>
          <t>FP16</t>
        </is>
      </c>
      <c r="B200" s="28" t="n">
        <v>64</v>
      </c>
      <c r="C200" s="28" t="n">
        <v>128</v>
      </c>
      <c r="D200" s="28" t="n">
        <v>7168</v>
      </c>
      <c r="E200" s="28" t="n">
        <v>128</v>
      </c>
      <c r="F200" s="28" t="n">
        <v>128</v>
      </c>
      <c r="G200" s="28" t="n">
        <v>64</v>
      </c>
      <c r="H200" s="28" t="n">
        <v>16</v>
      </c>
      <c r="I200" s="28" t="n">
        <v>16</v>
      </c>
      <c r="J200" s="28" t="n">
        <v>32</v>
      </c>
      <c r="K200" s="115" t="n">
        <v>39595</v>
      </c>
      <c r="L200" s="116">
        <f>ROUND(B200*C200*D200/4096/K200*100,1)/100</f>
        <v/>
      </c>
      <c r="M200" s="117">
        <f>IF(OR(E200="",F200="",G200=""),"",((H200+I200)*1024)/(E200*F200*G200/4096))</f>
        <v/>
      </c>
      <c r="N200" s="117">
        <f>IF(OR(E200="",F200="",G200=""),"",(E200*F200*4)/(E200*F200*G200/4096))</f>
        <v/>
      </c>
      <c r="O200" s="116">
        <f>IF(AND(ISNUMBER(M200),M200&gt;0),MIN(1,128/M200),"")</f>
        <v/>
      </c>
      <c r="P200" s="116">
        <f>IF(AND(ISNUMBER(N200),N200&gt;0),MIN(1,512/N200),"")</f>
        <v/>
      </c>
      <c r="Q200" s="116">
        <f>IF(AND(ISNUMBER(O200),ISNUMBER(P200)),MIN(O200,P200),"")</f>
        <v/>
      </c>
      <c r="R200" s="117">
        <f>IF(AND(ISNUMBER(L200),ISNUMBER(Q200)),(L200-Q200)*100,"")</f>
        <v/>
      </c>
      <c r="S200" s="87" t="inlineStr">
        <is>
          <t>PASS</t>
        </is>
      </c>
      <c r="T200" t="inlineStr">
        <is>
          <t>本轮 model-main 9b3a4405 + 8参数(256KB ShareTReg) 2026-09-22</t>
        </is>
      </c>
    </row>
    <row r="201" ht="20" customHeight="1">
      <c r="A201" s="27" t="inlineStr">
        <is>
          <t>FP16</t>
        </is>
      </c>
      <c r="B201" s="28" t="n">
        <v>64</v>
      </c>
      <c r="C201" s="28" t="n">
        <v>128</v>
      </c>
      <c r="D201" s="28" t="n">
        <v>7168</v>
      </c>
      <c r="E201" s="99" t="n">
        <v>128</v>
      </c>
      <c r="F201" s="99" t="n">
        <v>128</v>
      </c>
      <c r="G201" s="99" t="n">
        <v>128</v>
      </c>
      <c r="H201" s="28" t="n">
        <v>32</v>
      </c>
      <c r="I201" s="28" t="n">
        <v>32</v>
      </c>
      <c r="J201" s="28" t="n">
        <v>64</v>
      </c>
      <c r="K201" s="115" t="n">
        <v>39759</v>
      </c>
      <c r="L201" s="118">
        <f>ROUND(B201*C201*D201/4096/K201*100,1)/100</f>
        <v/>
      </c>
      <c r="M201" s="117">
        <f>IF(OR(E201="",F201="",G201=""),"",((H201+I201)*1024)/(E201*F201*G201/4096))</f>
        <v/>
      </c>
      <c r="N201" s="117">
        <f>IF(OR(E201="",F201="",G201=""),"",(E201*F201*4)/(E201*F201*G201/4096))</f>
        <v/>
      </c>
      <c r="O201" s="116">
        <f>IF(AND(ISNUMBER(M201),M201&gt;0),MIN(1,128/M201),"")</f>
        <v/>
      </c>
      <c r="P201" s="116">
        <f>IF(AND(ISNUMBER(N201),N201&gt;0),MIN(1,512/N201),"")</f>
        <v/>
      </c>
      <c r="Q201" s="116">
        <f>IF(AND(ISNUMBER(O201),ISNUMBER(P201)),MIN(O201,P201),"")</f>
        <v/>
      </c>
      <c r="R201" s="117">
        <f>IF(AND(ISNUMBER(L201),ISNUMBER(Q201)),(L201-Q201)*100,"")</f>
        <v/>
      </c>
      <c r="S201" s="87" t="inlineStr">
        <is>
          <t>PASS</t>
        </is>
      </c>
      <c r="T201" t="inlineStr">
        <is>
          <t>本轮 model-main 9b3a4405 + 8参数(256KB ShareTReg) 2026-09-22</t>
        </is>
      </c>
    </row>
    <row r="202" ht="20" customHeight="1">
      <c r="A202" s="27" t="inlineStr">
        <is>
          <t>FP16</t>
        </is>
      </c>
      <c r="B202" s="28" t="n">
        <v>64</v>
      </c>
      <c r="C202" s="28" t="n">
        <v>128</v>
      </c>
      <c r="D202" s="28" t="n">
        <v>7168</v>
      </c>
      <c r="E202" s="28" t="n">
        <v>128</v>
      </c>
      <c r="F202" s="28" t="n">
        <v>128</v>
      </c>
      <c r="G202" s="28" t="n">
        <v>256</v>
      </c>
      <c r="H202" s="28" t="n">
        <v>64</v>
      </c>
      <c r="I202" s="28" t="n">
        <v>64</v>
      </c>
      <c r="J202" s="28" t="n">
        <v>128</v>
      </c>
      <c r="K202" s="115" t="n">
        <v>40098</v>
      </c>
      <c r="L202" s="116">
        <f>ROUND(B202*C202*D202/4096/K202*100,1)/100</f>
        <v/>
      </c>
      <c r="M202" s="117">
        <f>IF(OR(E202="",F202="",G202=""),"",((H202+I202)*1024)/(E202*F202*G202/4096))</f>
        <v/>
      </c>
      <c r="N202" s="117">
        <f>IF(OR(E202="",F202="",G202=""),"",(E202*F202*4)/(E202*F202*G202/4096))</f>
        <v/>
      </c>
      <c r="O202" s="116">
        <f>IF(AND(ISNUMBER(M202),M202&gt;0),MIN(1,128/M202),"")</f>
        <v/>
      </c>
      <c r="P202" s="116">
        <f>IF(AND(ISNUMBER(N202),N202&gt;0),MIN(1,512/N202),"")</f>
        <v/>
      </c>
      <c r="Q202" s="116">
        <f>IF(AND(ISNUMBER(O202),ISNUMBER(P202)),MIN(O202,P202),"")</f>
        <v/>
      </c>
      <c r="R202" s="117">
        <f>IF(AND(ISNUMBER(L202),ISNUMBER(Q202)),(L202-Q202)*100,"")</f>
        <v/>
      </c>
      <c r="S202" s="87" t="inlineStr">
        <is>
          <t>PASS</t>
        </is>
      </c>
      <c r="T202" t="inlineStr">
        <is>
          <t>本轮 model-main 9b3a4405 + 8参数(256KB ShareTReg) 2026-09-22</t>
        </is>
      </c>
    </row>
    <row r="203" ht="20" customHeight="1">
      <c r="A203" s="27" t="inlineStr">
        <is>
          <t>FP16</t>
        </is>
      </c>
      <c r="B203" s="28" t="n">
        <v>64</v>
      </c>
      <c r="C203" s="28" t="n">
        <v>128</v>
      </c>
      <c r="D203" s="28" t="n">
        <v>7168</v>
      </c>
      <c r="E203" s="28" t="n">
        <v>128</v>
      </c>
      <c r="F203" s="28" t="n">
        <v>128</v>
      </c>
      <c r="G203" s="28" t="n">
        <v>512</v>
      </c>
      <c r="H203" s="28" t="n">
        <v>128</v>
      </c>
      <c r="I203" s="28" t="n">
        <v>128</v>
      </c>
      <c r="J203" s="28" t="n">
        <v>256</v>
      </c>
      <c r="K203" s="115" t="n">
        <v>66084</v>
      </c>
      <c r="L203" s="116">
        <f>ROUND(B203*C203*D203/4096/K203*100,1)/100</f>
        <v/>
      </c>
      <c r="M203" s="117">
        <f>IF(OR(E203="",F203="",G203=""),"",((H203+I203)*1024)/(E203*F203*G203/4096))</f>
        <v/>
      </c>
      <c r="N203" s="117">
        <f>IF(OR(E203="",F203="",G203=""),"",(E203*F203*4)/(E203*F203*G203/4096))</f>
        <v/>
      </c>
      <c r="O203" s="116">
        <f>IF(AND(ISNUMBER(M203),M203&gt;0),MIN(1,128/M203),"")</f>
        <v/>
      </c>
      <c r="P203" s="116">
        <f>IF(AND(ISNUMBER(N203),N203&gt;0),MIN(1,512/N203),"")</f>
        <v/>
      </c>
      <c r="Q203" s="116">
        <f>IF(AND(ISNUMBER(O203),ISNUMBER(P203)),MIN(O203,P203),"")</f>
        <v/>
      </c>
      <c r="R203" s="117">
        <f>IF(AND(ISNUMBER(L203),ISNUMBER(Q203)),(L203-Q203)*100,"")</f>
        <v/>
      </c>
      <c r="S203" s="87" t="inlineStr">
        <is>
          <t>PASS</t>
        </is>
      </c>
      <c r="T203" t="inlineStr">
        <is>
          <t>本轮 model-main 9b3a4405 + 8参数(256KB ShareTReg) 2026-09-22</t>
        </is>
      </c>
    </row>
    <row r="204" ht="23" customHeight="1">
      <c r="A204" s="81" t="inlineStr">
        <is>
          <t>FP8</t>
        </is>
      </c>
      <c r="B204" s="82" t="n"/>
      <c r="C204" s="82" t="n"/>
      <c r="D204" s="82" t="n"/>
      <c r="E204" s="82" t="n"/>
      <c r="F204" s="82" t="n"/>
      <c r="G204" s="82" t="n"/>
      <c r="H204" s="82" t="n"/>
      <c r="I204" s="82" t="n"/>
      <c r="J204" s="82" t="n"/>
      <c r="K204" s="112" t="n"/>
      <c r="L204" s="113" t="n"/>
      <c r="M204" s="114" t="n"/>
      <c r="N204" s="114" t="n"/>
      <c r="O204" s="113" t="n"/>
      <c r="P204" s="113" t="n"/>
      <c r="Q204" s="113" t="n"/>
      <c r="R204" s="114" t="n"/>
      <c r="S204" s="86" t="n"/>
    </row>
    <row r="205" ht="20" customHeight="1">
      <c r="A205" s="33" t="inlineStr">
        <is>
          <t>FP8</t>
        </is>
      </c>
      <c r="B205" s="34" t="n">
        <v>64</v>
      </c>
      <c r="C205" s="34" t="n">
        <v>128</v>
      </c>
      <c r="D205" s="34" t="n">
        <v>7168</v>
      </c>
      <c r="E205" s="34" t="n">
        <v>128</v>
      </c>
      <c r="F205" s="34" t="n">
        <v>64</v>
      </c>
      <c r="G205" s="34" t="n">
        <v>256</v>
      </c>
      <c r="H205" s="34" t="n">
        <v>32</v>
      </c>
      <c r="I205" s="34" t="n">
        <v>16</v>
      </c>
      <c r="J205" s="34" t="n">
        <v>48</v>
      </c>
      <c r="K205" s="119" t="n">
        <v>27065</v>
      </c>
      <c r="L205" s="120">
        <f>ROUND(B205*C205*D205/8192/K205*100,1)/100</f>
        <v/>
      </c>
      <c r="M205" s="121">
        <f>IF(OR(E205="",F205="",G205=""),"",((H205+I205)*1024)/(E205*F205*G205/8192))</f>
        <v/>
      </c>
      <c r="N205" s="121">
        <f>IF(OR(E205="",F205="",G205=""),"",(E205*F205*4)/(E205*F205*G205/8192))</f>
        <v/>
      </c>
      <c r="O205" s="120">
        <f>IF(AND(ISNUMBER(M205),M205&gt;0),MIN(1,128/M205),"")</f>
        <v/>
      </c>
      <c r="P205" s="120">
        <f>IF(AND(ISNUMBER(N205),N205&gt;0),MIN(1,512/N205),"")</f>
        <v/>
      </c>
      <c r="Q205" s="120">
        <f>IF(AND(ISNUMBER(O205),ISNUMBER(P205)),MIN(O205,P205),"")</f>
        <v/>
      </c>
      <c r="R205" s="121">
        <f>IF(AND(ISNUMBER(L205),ISNUMBER(Q205)),(L205-Q205)*100,"")</f>
        <v/>
      </c>
      <c r="S205" s="89" t="inlineStr">
        <is>
          <t>PASS</t>
        </is>
      </c>
      <c r="T205" t="inlineStr">
        <is>
          <t>本轮 model-main 9b3a4405 + 8参数(256KB ShareTReg) 2026-09-22</t>
        </is>
      </c>
    </row>
    <row r="206" ht="20" customHeight="1">
      <c r="A206" s="33" t="inlineStr">
        <is>
          <t>FP8</t>
        </is>
      </c>
      <c r="B206" s="34" t="n">
        <v>64</v>
      </c>
      <c r="C206" s="34" t="n">
        <v>128</v>
      </c>
      <c r="D206" s="34" t="n">
        <v>7168</v>
      </c>
      <c r="E206" s="34" t="n">
        <v>128</v>
      </c>
      <c r="F206" s="34" t="n">
        <v>64</v>
      </c>
      <c r="G206" s="34" t="n">
        <v>512</v>
      </c>
      <c r="H206" s="34" t="n">
        <v>64</v>
      </c>
      <c r="I206" s="34" t="n">
        <v>32</v>
      </c>
      <c r="J206" s="34" t="n">
        <v>96</v>
      </c>
      <c r="K206" s="119" t="n">
        <v>27296</v>
      </c>
      <c r="L206" s="120">
        <f>ROUND(B206*C206*D206/8192/K206*100,1)/100</f>
        <v/>
      </c>
      <c r="M206" s="121">
        <f>IF(OR(E206="",F206="",G206=""),"",((H206+I206)*1024)/(E206*F206*G206/8192))</f>
        <v/>
      </c>
      <c r="N206" s="121">
        <f>IF(OR(E206="",F206="",G206=""),"",(E206*F206*4)/(E206*F206*G206/8192))</f>
        <v/>
      </c>
      <c r="O206" s="120">
        <f>IF(AND(ISNUMBER(M206),M206&gt;0),MIN(1,128/M206),"")</f>
        <v/>
      </c>
      <c r="P206" s="120">
        <f>IF(AND(ISNUMBER(N206),N206&gt;0),MIN(1,512/N206),"")</f>
        <v/>
      </c>
      <c r="Q206" s="120">
        <f>IF(AND(ISNUMBER(O206),ISNUMBER(P206)),MIN(O206,P206),"")</f>
        <v/>
      </c>
      <c r="R206" s="121">
        <f>IF(AND(ISNUMBER(L206),ISNUMBER(Q206)),(L206-Q206)*100,"")</f>
        <v/>
      </c>
      <c r="S206" s="89" t="inlineStr">
        <is>
          <t>PASS</t>
        </is>
      </c>
      <c r="T206" t="inlineStr">
        <is>
          <t>本轮 model-main 9b3a4405 + 8参数(256KB ShareTReg) 2026-09-22</t>
        </is>
      </c>
    </row>
    <row r="207" ht="20" customHeight="1">
      <c r="A207" s="33" t="inlineStr">
        <is>
          <t>FP8</t>
        </is>
      </c>
      <c r="B207" s="34" t="n">
        <v>64</v>
      </c>
      <c r="C207" s="34" t="n">
        <v>128</v>
      </c>
      <c r="D207" s="34" t="n">
        <v>7168</v>
      </c>
      <c r="E207" s="34" t="n">
        <v>128</v>
      </c>
      <c r="F207" s="34" t="n">
        <v>64</v>
      </c>
      <c r="G207" s="34" t="n">
        <v>1024</v>
      </c>
      <c r="H207" s="34" t="n">
        <v>128</v>
      </c>
      <c r="I207" s="34" t="n">
        <v>64</v>
      </c>
      <c r="J207" s="34" t="n">
        <v>192</v>
      </c>
      <c r="K207" s="119" t="n">
        <v>46110</v>
      </c>
      <c r="L207" s="120">
        <f>ROUND(B207*C207*D207/8192/K207*100,1)/100</f>
        <v/>
      </c>
      <c r="M207" s="121">
        <f>IF(OR(E207="",F207="",G207=""),"",((H207+I207)*1024)/(E207*F207*G207/8192))</f>
        <v/>
      </c>
      <c r="N207" s="121">
        <f>IF(OR(E207="",F207="",G207=""),"",(E207*F207*4)/(E207*F207*G207/8192))</f>
        <v/>
      </c>
      <c r="O207" s="120">
        <f>IF(AND(ISNUMBER(M207),M207&gt;0),MIN(1,128/M207),"")</f>
        <v/>
      </c>
      <c r="P207" s="120">
        <f>IF(AND(ISNUMBER(N207),N207&gt;0),MIN(1,512/N207),"")</f>
        <v/>
      </c>
      <c r="Q207" s="120">
        <f>IF(AND(ISNUMBER(O207),ISNUMBER(P207)),MIN(O207,P207),"")</f>
        <v/>
      </c>
      <c r="R207" s="121">
        <f>IF(AND(ISNUMBER(L207),ISNUMBER(Q207)),(L207-Q207)*100,"")</f>
        <v/>
      </c>
      <c r="S207" s="89" t="inlineStr">
        <is>
          <t>PASS</t>
        </is>
      </c>
      <c r="T207" t="inlineStr">
        <is>
          <t>本轮 model-main 9b3a4405 + 8参数(256KB ShareTReg) 2026-09-22</t>
        </is>
      </c>
    </row>
    <row r="208" ht="20" customHeight="1">
      <c r="A208" s="33" t="inlineStr">
        <is>
          <t>FP8</t>
        </is>
      </c>
      <c r="B208" s="34" t="n">
        <v>64</v>
      </c>
      <c r="C208" s="34" t="n">
        <v>128</v>
      </c>
      <c r="D208" s="34" t="n">
        <v>7168</v>
      </c>
      <c r="E208" s="102" t="n">
        <v>128</v>
      </c>
      <c r="F208" s="102" t="n">
        <v>128</v>
      </c>
      <c r="G208" s="102" t="n">
        <v>256</v>
      </c>
      <c r="H208" s="34" t="n">
        <v>32</v>
      </c>
      <c r="I208" s="34" t="n">
        <v>32</v>
      </c>
      <c r="J208" s="34" t="n">
        <v>64</v>
      </c>
      <c r="K208" s="119" t="n">
        <v>20764</v>
      </c>
      <c r="L208" s="118">
        <f>ROUND(B208*C208*D208/8192/K208*100,1)/100</f>
        <v/>
      </c>
      <c r="M208" s="121">
        <f>IF(OR(E208="",F208="",G208=""),"",((H208+I208)*1024)/(E208*F208*G208/8192))</f>
        <v/>
      </c>
      <c r="N208" s="121">
        <f>IF(OR(E208="",F208="",G208=""),"",(E208*F208*4)/(E208*F208*G208/8192))</f>
        <v/>
      </c>
      <c r="O208" s="120">
        <f>IF(AND(ISNUMBER(M208),M208&gt;0),MIN(1,128/M208),"")</f>
        <v/>
      </c>
      <c r="P208" s="120">
        <f>IF(AND(ISNUMBER(N208),N208&gt;0),MIN(1,512/N208),"")</f>
        <v/>
      </c>
      <c r="Q208" s="120">
        <f>IF(AND(ISNUMBER(O208),ISNUMBER(P208)),MIN(O208,P208),"")</f>
        <v/>
      </c>
      <c r="R208" s="121">
        <f>IF(AND(ISNUMBER(L208),ISNUMBER(Q208)),(L208-Q208)*100,"")</f>
        <v/>
      </c>
      <c r="S208" s="89" t="inlineStr">
        <is>
          <t>PASS</t>
        </is>
      </c>
      <c r="T208" t="inlineStr">
        <is>
          <t>本轮 model-main 9b3a4405 + 8参数(256KB ShareTReg) 2026-09-22</t>
        </is>
      </c>
    </row>
    <row r="209" ht="20" customHeight="1">
      <c r="A209" s="33" t="inlineStr">
        <is>
          <t>FP8</t>
        </is>
      </c>
      <c r="B209" s="34" t="n">
        <v>64</v>
      </c>
      <c r="C209" s="34" t="n">
        <v>128</v>
      </c>
      <c r="D209" s="34" t="n">
        <v>7168</v>
      </c>
      <c r="E209" s="34" t="n">
        <v>128</v>
      </c>
      <c r="F209" s="34" t="n">
        <v>128</v>
      </c>
      <c r="G209" s="34" t="n">
        <v>512</v>
      </c>
      <c r="H209" s="34" t="n">
        <v>64</v>
      </c>
      <c r="I209" s="34" t="n">
        <v>64</v>
      </c>
      <c r="J209" s="34" t="n">
        <v>128</v>
      </c>
      <c r="K209" s="119" t="n">
        <v>21172</v>
      </c>
      <c r="L209" s="120">
        <f>ROUND(B209*C209*D209/8192/K209*100,1)/100</f>
        <v/>
      </c>
      <c r="M209" s="121">
        <f>IF(OR(E209="",F209="",G209=""),"",((H209+I209)*1024)/(E209*F209*G209/8192))</f>
        <v/>
      </c>
      <c r="N209" s="121">
        <f>IF(OR(E209="",F209="",G209=""),"",(E209*F209*4)/(E209*F209*G209/8192))</f>
        <v/>
      </c>
      <c r="O209" s="120">
        <f>IF(AND(ISNUMBER(M209),M209&gt;0),MIN(1,128/M209),"")</f>
        <v/>
      </c>
      <c r="P209" s="120">
        <f>IF(AND(ISNUMBER(N209),N209&gt;0),MIN(1,512/N209),"")</f>
        <v/>
      </c>
      <c r="Q209" s="120">
        <f>IF(AND(ISNUMBER(O209),ISNUMBER(P209)),MIN(O209,P209),"")</f>
        <v/>
      </c>
      <c r="R209" s="121">
        <f>IF(AND(ISNUMBER(L209),ISNUMBER(Q209)),(L209-Q209)*100,"")</f>
        <v/>
      </c>
      <c r="S209" s="89" t="inlineStr">
        <is>
          <t>PASS</t>
        </is>
      </c>
      <c r="T209" t="inlineStr">
        <is>
          <t>本轮 model-main 9b3a4405 + 8参数(256KB ShareTReg) 2026-09-22</t>
        </is>
      </c>
    </row>
    <row r="210" ht="20" customHeight="1">
      <c r="A210" s="33" t="inlineStr">
        <is>
          <t>FP8</t>
        </is>
      </c>
      <c r="B210" s="34" t="n">
        <v>64</v>
      </c>
      <c r="C210" s="34" t="n">
        <v>128</v>
      </c>
      <c r="D210" s="34" t="n">
        <v>7168</v>
      </c>
      <c r="E210" s="34" t="n">
        <v>128</v>
      </c>
      <c r="F210" s="34" t="n">
        <v>128</v>
      </c>
      <c r="G210" s="34" t="n">
        <v>1024</v>
      </c>
      <c r="H210" s="34" t="n">
        <v>128</v>
      </c>
      <c r="I210" s="34" t="n">
        <v>128</v>
      </c>
      <c r="J210" s="34" t="n">
        <v>256</v>
      </c>
      <c r="K210" s="119" t="n">
        <v>33522</v>
      </c>
      <c r="L210" s="120">
        <f>ROUND(B210*C210*D210/8192/K210*100,1)/100</f>
        <v/>
      </c>
      <c r="M210" s="121">
        <f>IF(OR(E210="",F210="",G210=""),"",((H210+I210)*1024)/(E210*F210*G210/8192))</f>
        <v/>
      </c>
      <c r="N210" s="121">
        <f>IF(OR(E210="",F210="",G210=""),"",(E210*F210*4)/(E210*F210*G210/8192))</f>
        <v/>
      </c>
      <c r="O210" s="120">
        <f>IF(AND(ISNUMBER(M210),M210&gt;0),MIN(1,128/M210),"")</f>
        <v/>
      </c>
      <c r="P210" s="120">
        <f>IF(AND(ISNUMBER(N210),N210&gt;0),MIN(1,512/N210),"")</f>
        <v/>
      </c>
      <c r="Q210" s="120">
        <f>IF(AND(ISNUMBER(O210),ISNUMBER(P210)),MIN(O210,P210),"")</f>
        <v/>
      </c>
      <c r="R210" s="121">
        <f>IF(AND(ISNUMBER(L210),ISNUMBER(Q210)),(L210-Q210)*100,"")</f>
        <v/>
      </c>
      <c r="S210" s="89" t="inlineStr">
        <is>
          <t>PASS</t>
        </is>
      </c>
      <c r="T210" t="inlineStr">
        <is>
          <t>本轮 model-main 9b3a4405 + 8参数(256KB ShareTReg) 2026-09-22</t>
        </is>
      </c>
    </row>
    <row r="211" ht="23" customHeight="1">
      <c r="A211" s="81" t="inlineStr">
        <is>
          <t>MXFP8</t>
        </is>
      </c>
      <c r="B211" s="82" t="n"/>
      <c r="C211" s="82" t="n"/>
      <c r="D211" s="82" t="n"/>
      <c r="E211" s="82" t="n"/>
      <c r="F211" s="82" t="n"/>
      <c r="G211" s="82" t="n"/>
      <c r="H211" s="82" t="n"/>
      <c r="I211" s="82" t="n"/>
      <c r="J211" s="82" t="n"/>
      <c r="K211" s="112" t="n"/>
      <c r="L211" s="113" t="n"/>
      <c r="M211" s="114" t="n"/>
      <c r="N211" s="114" t="n"/>
      <c r="O211" s="113" t="n"/>
      <c r="P211" s="113" t="n"/>
      <c r="Q211" s="113" t="n"/>
      <c r="R211" s="114" t="n"/>
      <c r="S211" s="86" t="n"/>
    </row>
    <row r="212" ht="20" customHeight="1">
      <c r="A212" s="39" t="inlineStr">
        <is>
          <t>MXFP8</t>
        </is>
      </c>
      <c r="B212" s="40" t="n">
        <v>64</v>
      </c>
      <c r="C212" s="40" t="n">
        <v>128</v>
      </c>
      <c r="D212" s="40" t="n">
        <v>7168</v>
      </c>
      <c r="E212" s="40" t="n">
        <v>128</v>
      </c>
      <c r="F212" s="40" t="n">
        <v>64</v>
      </c>
      <c r="G212" s="40" t="n">
        <v>256</v>
      </c>
      <c r="H212" s="40" t="n">
        <v>36</v>
      </c>
      <c r="I212" s="40" t="n">
        <v>18</v>
      </c>
      <c r="J212" s="40" t="n">
        <v>54</v>
      </c>
      <c r="K212" s="122" t="n">
        <v>31599</v>
      </c>
      <c r="L212" s="123">
        <f>ROUND(B212*C212*D212/8192/K212*100,1)/100</f>
        <v/>
      </c>
      <c r="M212" s="124">
        <f>IF(OR(E212="",F212="",G212=""),"",((H212+I212)*1024)/(E212*F212*G212/8192))</f>
        <v/>
      </c>
      <c r="N212" s="124">
        <f>IF(OR(E212="",F212="",G212=""),"",(E212*F212*4)/(E212*F212*G212/8192))</f>
        <v/>
      </c>
      <c r="O212" s="123">
        <f>IF(AND(ISNUMBER(M212),M212&gt;0),MIN(1,128/M212),"")</f>
        <v/>
      </c>
      <c r="P212" s="123">
        <f>IF(AND(ISNUMBER(N212),N212&gt;0),MIN(1,512/N212),"")</f>
        <v/>
      </c>
      <c r="Q212" s="123">
        <f>IF(AND(ISNUMBER(O212),ISNUMBER(P212)),MIN(O212,P212),"")</f>
        <v/>
      </c>
      <c r="R212" s="124">
        <f>IF(AND(ISNUMBER(L212),ISNUMBER(Q212)),(L212-Q212)*100,"")</f>
        <v/>
      </c>
      <c r="S212" s="91" t="inlineStr">
        <is>
          <t>PASS</t>
        </is>
      </c>
      <c r="T212" t="inlineStr">
        <is>
          <t>本轮 model-main 9b3a4405 + 8参数(256KB ShareTReg) 2026-09-22</t>
        </is>
      </c>
    </row>
    <row r="213" ht="20" customHeight="1">
      <c r="A213" s="39" t="inlineStr">
        <is>
          <t>MXFP8</t>
        </is>
      </c>
      <c r="B213" s="40" t="n">
        <v>64</v>
      </c>
      <c r="C213" s="40" t="n">
        <v>128</v>
      </c>
      <c r="D213" s="40" t="n">
        <v>7168</v>
      </c>
      <c r="E213" s="40" t="n">
        <v>128</v>
      </c>
      <c r="F213" s="40" t="n">
        <v>64</v>
      </c>
      <c r="G213" s="40" t="n">
        <v>512</v>
      </c>
      <c r="H213" s="40" t="n">
        <v>68</v>
      </c>
      <c r="I213" s="40" t="n">
        <v>34</v>
      </c>
      <c r="J213" s="40" t="n">
        <v>102</v>
      </c>
      <c r="K213" s="122" t="n">
        <v>31338</v>
      </c>
      <c r="L213" s="123">
        <f>ROUND(B213*C213*D213/8192/K213*100,1)/100</f>
        <v/>
      </c>
      <c r="M213" s="124">
        <f>IF(OR(E213="",F213="",G213=""),"",((H213+I213)*1024)/(E213*F213*G213/8192))</f>
        <v/>
      </c>
      <c r="N213" s="124">
        <f>IF(OR(E213="",F213="",G213=""),"",(E213*F213*4)/(E213*F213*G213/8192))</f>
        <v/>
      </c>
      <c r="O213" s="123">
        <f>IF(AND(ISNUMBER(M213),M213&gt;0),MIN(1,128/M213),"")</f>
        <v/>
      </c>
      <c r="P213" s="123">
        <f>IF(AND(ISNUMBER(N213),N213&gt;0),MIN(1,512/N213),"")</f>
        <v/>
      </c>
      <c r="Q213" s="123">
        <f>IF(AND(ISNUMBER(O213),ISNUMBER(P213)),MIN(O213,P213),"")</f>
        <v/>
      </c>
      <c r="R213" s="124">
        <f>IF(AND(ISNUMBER(L213),ISNUMBER(Q213)),(L213-Q213)*100,"")</f>
        <v/>
      </c>
      <c r="S213" s="91" t="inlineStr">
        <is>
          <t>PASS</t>
        </is>
      </c>
      <c r="T213" t="inlineStr">
        <is>
          <t>本轮 model-main 9b3a4405 + 8参数(256KB ShareTReg) 2026-09-22</t>
        </is>
      </c>
    </row>
    <row r="214" ht="20" customHeight="1">
      <c r="A214" s="39" t="inlineStr">
        <is>
          <t>MXFP8</t>
        </is>
      </c>
      <c r="B214" s="40" t="n">
        <v>64</v>
      </c>
      <c r="C214" s="40" t="n">
        <v>128</v>
      </c>
      <c r="D214" s="40" t="n">
        <v>7168</v>
      </c>
      <c r="E214" s="40" t="n">
        <v>128</v>
      </c>
      <c r="F214" s="40" t="n">
        <v>64</v>
      </c>
      <c r="G214" s="40" t="n">
        <v>1024</v>
      </c>
      <c r="H214" s="40" t="n">
        <v>132</v>
      </c>
      <c r="I214" s="40" t="n">
        <v>66</v>
      </c>
      <c r="J214" s="40" t="n">
        <v>198</v>
      </c>
      <c r="K214" s="122" t="n">
        <v>51943</v>
      </c>
      <c r="L214" s="123">
        <f>ROUND(B214*C214*D214/8192/K214*100,1)/100</f>
        <v/>
      </c>
      <c r="M214" s="124">
        <f>IF(OR(E214="",F214="",G214=""),"",((H214+I214)*1024)/(E214*F214*G214/8192))</f>
        <v/>
      </c>
      <c r="N214" s="124">
        <f>IF(OR(E214="",F214="",G214=""),"",(E214*F214*4)/(E214*F214*G214/8192))</f>
        <v/>
      </c>
      <c r="O214" s="123">
        <f>IF(AND(ISNUMBER(M214),M214&gt;0),MIN(1,128/M214),"")</f>
        <v/>
      </c>
      <c r="P214" s="123">
        <f>IF(AND(ISNUMBER(N214),N214&gt;0),MIN(1,512/N214),"")</f>
        <v/>
      </c>
      <c r="Q214" s="123">
        <f>IF(AND(ISNUMBER(O214),ISNUMBER(P214)),MIN(O214,P214),"")</f>
        <v/>
      </c>
      <c r="R214" s="124">
        <f>IF(AND(ISNUMBER(L214),ISNUMBER(Q214)),(L214-Q214)*100,"")</f>
        <v/>
      </c>
      <c r="S214" s="91" t="inlineStr">
        <is>
          <t>PASS</t>
        </is>
      </c>
      <c r="T214" t="inlineStr">
        <is>
          <t>本轮 model-main 9b3a4405 + 8参数(256KB ShareTReg) 2026-09-22</t>
        </is>
      </c>
    </row>
    <row r="215" ht="20" customHeight="1">
      <c r="A215" s="39" t="inlineStr">
        <is>
          <t>MXFP8</t>
        </is>
      </c>
      <c r="B215" s="40" t="n">
        <v>64</v>
      </c>
      <c r="C215" s="40" t="n">
        <v>128</v>
      </c>
      <c r="D215" s="40" t="n">
        <v>7168</v>
      </c>
      <c r="E215" s="103" t="n">
        <v>128</v>
      </c>
      <c r="F215" s="103" t="n">
        <v>128</v>
      </c>
      <c r="G215" s="103" t="n">
        <v>256</v>
      </c>
      <c r="H215" s="40" t="n">
        <v>36</v>
      </c>
      <c r="I215" s="40" t="n">
        <v>36</v>
      </c>
      <c r="J215" s="40" t="n">
        <v>72</v>
      </c>
      <c r="K215" s="122" t="n">
        <v>24146</v>
      </c>
      <c r="L215" s="118">
        <f>ROUND(B215*C215*D215/8192/K215*100,1)/100</f>
        <v/>
      </c>
      <c r="M215" s="124">
        <f>IF(OR(E215="",F215="",G215=""),"",((H215+I215)*1024)/(E215*F215*G215/8192))</f>
        <v/>
      </c>
      <c r="N215" s="124">
        <f>IF(OR(E215="",F215="",G215=""),"",(E215*F215*4)/(E215*F215*G215/8192))</f>
        <v/>
      </c>
      <c r="O215" s="123">
        <f>IF(AND(ISNUMBER(M215),M215&gt;0),MIN(1,128/M215),"")</f>
        <v/>
      </c>
      <c r="P215" s="123">
        <f>IF(AND(ISNUMBER(N215),N215&gt;0),MIN(1,512/N215),"")</f>
        <v/>
      </c>
      <c r="Q215" s="123">
        <f>IF(AND(ISNUMBER(O215),ISNUMBER(P215)),MIN(O215,P215),"")</f>
        <v/>
      </c>
      <c r="R215" s="124">
        <f>IF(AND(ISNUMBER(L215),ISNUMBER(Q215)),(L215-Q215)*100,"")</f>
        <v/>
      </c>
      <c r="S215" s="91" t="inlineStr">
        <is>
          <t>PASS</t>
        </is>
      </c>
      <c r="T215" t="inlineStr">
        <is>
          <t>本轮 model-main 9b3a4405 + 8参数(256KB ShareTReg) 2026-09-22</t>
        </is>
      </c>
    </row>
    <row r="216" ht="20" customHeight="1">
      <c r="A216" s="39" t="inlineStr">
        <is>
          <t>MXFP8</t>
        </is>
      </c>
      <c r="B216" s="40" t="n">
        <v>64</v>
      </c>
      <c r="C216" s="40" t="n">
        <v>128</v>
      </c>
      <c r="D216" s="40" t="n">
        <v>7168</v>
      </c>
      <c r="E216" s="40" t="n">
        <v>128</v>
      </c>
      <c r="F216" s="40" t="n">
        <v>128</v>
      </c>
      <c r="G216" s="40" t="n">
        <v>512</v>
      </c>
      <c r="H216" s="40" t="n">
        <v>68</v>
      </c>
      <c r="I216" s="40" t="n">
        <v>68</v>
      </c>
      <c r="J216" s="40" t="n">
        <v>136</v>
      </c>
      <c r="K216" s="122" t="n">
        <v>35991</v>
      </c>
      <c r="L216" s="123">
        <f>ROUND(B216*C216*D216/8192/K216*100,1)/100</f>
        <v/>
      </c>
      <c r="M216" s="124">
        <f>IF(OR(E216="",F216="",G216=""),"",((H216+I216)*1024)/(E216*F216*G216/8192))</f>
        <v/>
      </c>
      <c r="N216" s="124">
        <f>IF(OR(E216="",F216="",G216=""),"",(E216*F216*4)/(E216*F216*G216/8192))</f>
        <v/>
      </c>
      <c r="O216" s="123">
        <f>IF(AND(ISNUMBER(M216),M216&gt;0),MIN(1,128/M216),"")</f>
        <v/>
      </c>
      <c r="P216" s="123">
        <f>IF(AND(ISNUMBER(N216),N216&gt;0),MIN(1,512/N216),"")</f>
        <v/>
      </c>
      <c r="Q216" s="123">
        <f>IF(AND(ISNUMBER(O216),ISNUMBER(P216)),MIN(O216,P216),"")</f>
        <v/>
      </c>
      <c r="R216" s="124">
        <f>IF(AND(ISNUMBER(L216),ISNUMBER(Q216)),(L216-Q216)*100,"")</f>
        <v/>
      </c>
      <c r="S216" s="91" t="inlineStr">
        <is>
          <t>PASS</t>
        </is>
      </c>
      <c r="T216" t="inlineStr">
        <is>
          <t>本轮 model-main 9b3a4405 + 8参数(256KB ShareTReg) 2026-09-22</t>
        </is>
      </c>
    </row>
    <row r="217" ht="20" customHeight="1">
      <c r="A217" s="39" t="inlineStr">
        <is>
          <t>MXFP8</t>
        </is>
      </c>
      <c r="B217" s="40" t="n">
        <v>64</v>
      </c>
      <c r="C217" s="40" t="n">
        <v>128</v>
      </c>
      <c r="D217" s="40" t="n">
        <v>7168</v>
      </c>
      <c r="E217" s="40" t="n">
        <v>128</v>
      </c>
      <c r="F217" s="40" t="n">
        <v>128</v>
      </c>
      <c r="G217" s="40" t="n">
        <v>1024</v>
      </c>
      <c r="H217" s="40" t="n">
        <v>132</v>
      </c>
      <c r="I217" s="40" t="n">
        <v>132</v>
      </c>
      <c r="J217" s="40" t="n">
        <v>264</v>
      </c>
      <c r="K217" s="122" t="inlineStr">
        <is>
          <t>—</t>
        </is>
      </c>
      <c r="L217" s="123" t="n"/>
      <c r="M217" s="124">
        <f>IF(OR(E217="",F217="",G217=""),"",((H217+I217)*1024)/(E217*F217*G217/8192))</f>
        <v/>
      </c>
      <c r="N217" s="124">
        <f>IF(OR(E217="",F217="",G217=""),"",(E217*F217*4)/(E217*F217*G217/8192))</f>
        <v/>
      </c>
      <c r="O217" s="123">
        <f>IF(AND(ISNUMBER(M217),M217&gt;0),MIN(1,128/M217),"")</f>
        <v/>
      </c>
      <c r="P217" s="123">
        <f>IF(AND(ISNUMBER(N217),N217&gt;0),MIN(1,512/N217),"")</f>
        <v/>
      </c>
      <c r="Q217" s="123">
        <f>IF(AND(ISNUMBER(O217),ISNUMBER(P217)),MIN(O217,P217),"")</f>
        <v/>
      </c>
      <c r="R217" s="124" t="n"/>
      <c r="S217" s="96" t="inlineStr">
        <is>
          <t>COMPILE_FAIL</t>
        </is>
      </c>
      <c r="T217" t="inlineStr">
        <is>
          <t>容量超限：完整 SharedTile 足迹 &gt; 256 KiB；本轮 model-main 9b3a4405 + 8参数(256KB ShareTReg) 2026-09-22</t>
        </is>
      </c>
    </row>
    <row r="218" ht="23" customHeight="1">
      <c r="A218" s="81" t="inlineStr">
        <is>
          <t>MXFP4</t>
        </is>
      </c>
      <c r="B218" s="82" t="n"/>
      <c r="C218" s="82" t="n"/>
      <c r="D218" s="82" t="n"/>
      <c r="E218" s="82" t="n"/>
      <c r="F218" s="82" t="n"/>
      <c r="G218" s="82" t="n"/>
      <c r="H218" s="82" t="n"/>
      <c r="I218" s="82" t="n"/>
      <c r="J218" s="82" t="n"/>
      <c r="K218" s="112" t="n"/>
      <c r="L218" s="113" t="n"/>
      <c r="M218" s="114" t="n"/>
      <c r="N218" s="114" t="n"/>
      <c r="O218" s="113" t="n"/>
      <c r="P218" s="113" t="n"/>
      <c r="Q218" s="113" t="n"/>
      <c r="R218" s="114" t="n"/>
      <c r="S218" s="86" t="n"/>
    </row>
    <row r="219" ht="20" customHeight="1">
      <c r="A219" s="45" t="inlineStr">
        <is>
          <t>MXFP4</t>
        </is>
      </c>
      <c r="B219" s="46" t="n">
        <v>64</v>
      </c>
      <c r="C219" s="46" t="n">
        <v>128</v>
      </c>
      <c r="D219" s="46" t="n">
        <v>7168</v>
      </c>
      <c r="E219" s="46" t="n">
        <v>128</v>
      </c>
      <c r="F219" s="46" t="n">
        <v>64</v>
      </c>
      <c r="G219" s="46" t="n">
        <v>256</v>
      </c>
      <c r="H219" s="46" t="n">
        <v>36</v>
      </c>
      <c r="I219" s="46" t="n">
        <v>18</v>
      </c>
      <c r="J219" s="46" t="n">
        <v>54</v>
      </c>
      <c r="K219" s="125" t="n">
        <v>34793</v>
      </c>
      <c r="L219" s="126">
        <f>ROUND(B219*C219*D219/16384/K219*100,1)/100</f>
        <v/>
      </c>
      <c r="M219" s="127">
        <f>IF(OR(E219="",F219="",G219=""),"",((H219+I219)*1024)/(E219*F219*G219/16384))</f>
        <v/>
      </c>
      <c r="N219" s="127">
        <f>IF(OR(E219="",F219="",G219=""),"",(E219*F219*4)/(E219*F219*G219/16384))</f>
        <v/>
      </c>
      <c r="O219" s="126">
        <f>IF(AND(ISNUMBER(M219),M219&gt;0),MIN(1,128/M219),"")</f>
        <v/>
      </c>
      <c r="P219" s="126">
        <f>IF(AND(ISNUMBER(N219),N219&gt;0),MIN(1,512/N219),"")</f>
        <v/>
      </c>
      <c r="Q219" s="126">
        <f>IF(AND(ISNUMBER(O219),ISNUMBER(P219)),MIN(O219,P219),"")</f>
        <v/>
      </c>
      <c r="R219" s="127">
        <f>IF(AND(ISNUMBER(L219),ISNUMBER(Q219)),(L219-Q219)*100,"")</f>
        <v/>
      </c>
      <c r="S219" s="92" t="inlineStr">
        <is>
          <t>PASS</t>
        </is>
      </c>
      <c r="T219" t="inlineStr">
        <is>
          <t>本轮 model-main 9b3a4405 + 8参数(256KB ShareTReg) 2026-09-22</t>
        </is>
      </c>
    </row>
    <row r="220" ht="20" customHeight="1">
      <c r="A220" s="45" t="inlineStr">
        <is>
          <t>MXFP4</t>
        </is>
      </c>
      <c r="B220" s="46" t="n">
        <v>64</v>
      </c>
      <c r="C220" s="46" t="n">
        <v>128</v>
      </c>
      <c r="D220" s="46" t="n">
        <v>7168</v>
      </c>
      <c r="E220" s="46" t="n">
        <v>128</v>
      </c>
      <c r="F220" s="46" t="n">
        <v>64</v>
      </c>
      <c r="G220" s="46" t="n">
        <v>512</v>
      </c>
      <c r="H220" s="46" t="n">
        <v>68</v>
      </c>
      <c r="I220" s="46" t="n">
        <v>34</v>
      </c>
      <c r="J220" s="46" t="n">
        <v>102</v>
      </c>
      <c r="K220" s="125" t="n">
        <v>33474</v>
      </c>
      <c r="L220" s="126">
        <f>ROUND(B220*C220*D220/16384/K220*100,1)/100</f>
        <v/>
      </c>
      <c r="M220" s="127">
        <f>IF(OR(E220="",F220="",G220=""),"",((H220+I220)*1024)/(E220*F220*G220/16384))</f>
        <v/>
      </c>
      <c r="N220" s="127">
        <f>IF(OR(E220="",F220="",G220=""),"",(E220*F220*4)/(E220*F220*G220/16384))</f>
        <v/>
      </c>
      <c r="O220" s="126">
        <f>IF(AND(ISNUMBER(M220),M220&gt;0),MIN(1,128/M220),"")</f>
        <v/>
      </c>
      <c r="P220" s="126">
        <f>IF(AND(ISNUMBER(N220),N220&gt;0),MIN(1,512/N220),"")</f>
        <v/>
      </c>
      <c r="Q220" s="126">
        <f>IF(AND(ISNUMBER(O220),ISNUMBER(P220)),MIN(O220,P220),"")</f>
        <v/>
      </c>
      <c r="R220" s="127">
        <f>IF(AND(ISNUMBER(L220),ISNUMBER(Q220)),(L220-Q220)*100,"")</f>
        <v/>
      </c>
      <c r="S220" s="92" t="inlineStr">
        <is>
          <t>PASS</t>
        </is>
      </c>
      <c r="T220" t="inlineStr">
        <is>
          <t>本轮 model-main 9b3a4405 + 8参数(256KB ShareTReg) 2026-09-22</t>
        </is>
      </c>
    </row>
    <row r="221" ht="20" customHeight="1">
      <c r="A221" s="45" t="inlineStr">
        <is>
          <t>MXFP4</t>
        </is>
      </c>
      <c r="B221" s="46" t="n">
        <v>64</v>
      </c>
      <c r="C221" s="46" t="n">
        <v>128</v>
      </c>
      <c r="D221" s="46" t="n">
        <v>7168</v>
      </c>
      <c r="E221" s="46" t="n">
        <v>128</v>
      </c>
      <c r="F221" s="46" t="n">
        <v>64</v>
      </c>
      <c r="G221" s="46" t="n">
        <v>1024</v>
      </c>
      <c r="H221" s="46" t="n">
        <v>132</v>
      </c>
      <c r="I221" s="46" t="n">
        <v>66</v>
      </c>
      <c r="J221" s="46" t="n">
        <v>198</v>
      </c>
      <c r="K221" s="125" t="n">
        <v>48554</v>
      </c>
      <c r="L221" s="126">
        <f>ROUND(B221*C221*D221/16384/K221*100,1)/100</f>
        <v/>
      </c>
      <c r="M221" s="127">
        <f>IF(OR(E221="",F221="",G221=""),"",((H221+I221)*1024)/(E221*F221*G221/16384))</f>
        <v/>
      </c>
      <c r="N221" s="127">
        <f>IF(OR(E221="",F221="",G221=""),"",(E221*F221*4)/(E221*F221*G221/16384))</f>
        <v/>
      </c>
      <c r="O221" s="126">
        <f>IF(AND(ISNUMBER(M221),M221&gt;0),MIN(1,128/M221),"")</f>
        <v/>
      </c>
      <c r="P221" s="126">
        <f>IF(AND(ISNUMBER(N221),N221&gt;0),MIN(1,512/N221),"")</f>
        <v/>
      </c>
      <c r="Q221" s="126">
        <f>IF(AND(ISNUMBER(O221),ISNUMBER(P221)),MIN(O221,P221),"")</f>
        <v/>
      </c>
      <c r="R221" s="127">
        <f>IF(AND(ISNUMBER(L221),ISNUMBER(Q221)),(L221-Q221)*100,"")</f>
        <v/>
      </c>
      <c r="S221" s="92" t="inlineStr">
        <is>
          <t>PASS</t>
        </is>
      </c>
      <c r="T221" t="inlineStr">
        <is>
          <t>本轮 model-main 9b3a4405 + 8参数(256KB ShareTReg) 2026-09-22</t>
        </is>
      </c>
    </row>
    <row r="222" ht="20" customHeight="1">
      <c r="A222" s="45" t="inlineStr">
        <is>
          <t>MXFP4</t>
        </is>
      </c>
      <c r="B222" s="46" t="n">
        <v>64</v>
      </c>
      <c r="C222" s="46" t="n">
        <v>128</v>
      </c>
      <c r="D222" s="46" t="n">
        <v>7168</v>
      </c>
      <c r="E222" s="104" t="n">
        <v>128</v>
      </c>
      <c r="F222" s="104" t="n">
        <v>128</v>
      </c>
      <c r="G222" s="104" t="n">
        <v>256</v>
      </c>
      <c r="H222" s="46" t="n">
        <v>36</v>
      </c>
      <c r="I222" s="46" t="n">
        <v>36</v>
      </c>
      <c r="J222" s="46" t="n">
        <v>72</v>
      </c>
      <c r="K222" s="125" t="n">
        <v>25983</v>
      </c>
      <c r="L222" s="118">
        <f>ROUND(B222*C222*D222/16384/K222*100,1)/100</f>
        <v/>
      </c>
      <c r="M222" s="127">
        <f>IF(OR(E222="",F222="",G222=""),"",((H222+I222)*1024)/(E222*F222*G222/16384))</f>
        <v/>
      </c>
      <c r="N222" s="127">
        <f>IF(OR(E222="",F222="",G222=""),"",(E222*F222*4)/(E222*F222*G222/16384))</f>
        <v/>
      </c>
      <c r="O222" s="126">
        <f>IF(AND(ISNUMBER(M222),M222&gt;0),MIN(1,128/M222),"")</f>
        <v/>
      </c>
      <c r="P222" s="126">
        <f>IF(AND(ISNUMBER(N222),N222&gt;0),MIN(1,512/N222),"")</f>
        <v/>
      </c>
      <c r="Q222" s="126">
        <f>IF(AND(ISNUMBER(O222),ISNUMBER(P222)),MIN(O222,P222),"")</f>
        <v/>
      </c>
      <c r="R222" s="127">
        <f>IF(AND(ISNUMBER(L222),ISNUMBER(Q222)),(L222-Q222)*100,"")</f>
        <v/>
      </c>
      <c r="S222" s="92" t="inlineStr">
        <is>
          <t>PASS</t>
        </is>
      </c>
      <c r="T222" t="inlineStr">
        <is>
          <t>本轮 model-main 9b3a4405 + 8参数(256KB ShareTReg) 2026-09-22</t>
        </is>
      </c>
    </row>
    <row r="223" ht="20" customHeight="1">
      <c r="A223" s="45" t="inlineStr">
        <is>
          <t>MXFP4</t>
        </is>
      </c>
      <c r="B223" s="46" t="n">
        <v>64</v>
      </c>
      <c r="C223" s="46" t="n">
        <v>128</v>
      </c>
      <c r="D223" s="46" t="n">
        <v>7168</v>
      </c>
      <c r="E223" s="46" t="n">
        <v>128</v>
      </c>
      <c r="F223" s="46" t="n">
        <v>128</v>
      </c>
      <c r="G223" s="46" t="n">
        <v>512</v>
      </c>
      <c r="H223" s="46" t="n">
        <v>68</v>
      </c>
      <c r="I223" s="46" t="n">
        <v>68</v>
      </c>
      <c r="J223" s="46" t="n">
        <v>136</v>
      </c>
      <c r="K223" s="125" t="n">
        <v>33656</v>
      </c>
      <c r="L223" s="126">
        <f>ROUND(B223*C223*D223/16384/K223*100,1)/100</f>
        <v/>
      </c>
      <c r="M223" s="127">
        <f>IF(OR(E223="",F223="",G223=""),"",((H223+I223)*1024)/(E223*F223*G223/16384))</f>
        <v/>
      </c>
      <c r="N223" s="127">
        <f>IF(OR(E223="",F223="",G223=""),"",(E223*F223*4)/(E223*F223*G223/16384))</f>
        <v/>
      </c>
      <c r="O223" s="126">
        <f>IF(AND(ISNUMBER(M223),M223&gt;0),MIN(1,128/M223),"")</f>
        <v/>
      </c>
      <c r="P223" s="126">
        <f>IF(AND(ISNUMBER(N223),N223&gt;0),MIN(1,512/N223),"")</f>
        <v/>
      </c>
      <c r="Q223" s="126">
        <f>IF(AND(ISNUMBER(O223),ISNUMBER(P223)),MIN(O223,P223),"")</f>
        <v/>
      </c>
      <c r="R223" s="127">
        <f>IF(AND(ISNUMBER(L223),ISNUMBER(Q223)),(L223-Q223)*100,"")</f>
        <v/>
      </c>
      <c r="S223" s="92" t="inlineStr">
        <is>
          <t>PASS</t>
        </is>
      </c>
      <c r="T223" t="inlineStr">
        <is>
          <t>本轮 model-main 9b3a4405 + 8参数(256KB ShareTReg) 2026-09-22</t>
        </is>
      </c>
    </row>
    <row r="224" ht="20" customHeight="1">
      <c r="A224" s="45" t="inlineStr">
        <is>
          <t>MXFP4</t>
        </is>
      </c>
      <c r="B224" s="46" t="n">
        <v>64</v>
      </c>
      <c r="C224" s="46" t="n">
        <v>128</v>
      </c>
      <c r="D224" s="46" t="n">
        <v>7168</v>
      </c>
      <c r="E224" s="46" t="n">
        <v>128</v>
      </c>
      <c r="F224" s="46" t="n">
        <v>128</v>
      </c>
      <c r="G224" s="46" t="n">
        <v>1024</v>
      </c>
      <c r="H224" s="46" t="n">
        <v>132</v>
      </c>
      <c r="I224" s="46" t="n">
        <v>132</v>
      </c>
      <c r="J224" s="46" t="n">
        <v>264</v>
      </c>
      <c r="K224" s="125" t="inlineStr">
        <is>
          <t>—</t>
        </is>
      </c>
      <c r="L224" s="126" t="n"/>
      <c r="M224" s="127">
        <f>IF(OR(E224="",F224="",G224=""),"",((H224+I224)*1024)/(E224*F224*G224/16384))</f>
        <v/>
      </c>
      <c r="N224" s="127">
        <f>IF(OR(E224="",F224="",G224=""),"",(E224*F224*4)/(E224*F224*G224/16384))</f>
        <v/>
      </c>
      <c r="O224" s="126">
        <f>IF(AND(ISNUMBER(M224),M224&gt;0),MIN(1,128/M224),"")</f>
        <v/>
      </c>
      <c r="P224" s="126">
        <f>IF(AND(ISNUMBER(N224),N224&gt;0),MIN(1,512/N224),"")</f>
        <v/>
      </c>
      <c r="Q224" s="126">
        <f>IF(AND(ISNUMBER(O224),ISNUMBER(P224)),MIN(O224,P224),"")</f>
        <v/>
      </c>
      <c r="R224" s="127" t="n"/>
      <c r="S224" s="97" t="inlineStr">
        <is>
          <t>COMPILE_FAIL</t>
        </is>
      </c>
      <c r="T224" t="inlineStr">
        <is>
          <t>容量超限：完整 SharedTile 足迹 &gt; 256 KiB；本轮 model-main 9b3a4405 + 8参数(256KB ShareTReg) 2026-09-22</t>
        </is>
      </c>
    </row>
    <row r="225" ht="26" customHeight="1">
      <c r="A225" s="63" t="inlineStr">
        <is>
          <t>▌ S5  —  64×64×7168</t>
        </is>
      </c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109" t="n"/>
      <c r="L225" s="110" t="n"/>
      <c r="M225" s="111" t="n"/>
      <c r="N225" s="111" t="n"/>
      <c r="O225" s="110" t="n"/>
      <c r="P225" s="110" t="n"/>
      <c r="Q225" s="110" t="n"/>
      <c r="R225" s="111" t="n"/>
      <c r="S225" s="68" t="n"/>
    </row>
    <row r="226" ht="23" customHeight="1">
      <c r="A226" s="81" t="inlineStr">
        <is>
          <t>FP32</t>
        </is>
      </c>
      <c r="B226" s="82" t="n"/>
      <c r="C226" s="82" t="n"/>
      <c r="D226" s="82" t="n"/>
      <c r="E226" s="82" t="n"/>
      <c r="F226" s="82" t="n"/>
      <c r="G226" s="82" t="n"/>
      <c r="H226" s="82" t="n"/>
      <c r="I226" s="82" t="n"/>
      <c r="J226" s="82" t="n"/>
      <c r="K226" s="112" t="n"/>
      <c r="L226" s="113" t="n"/>
      <c r="M226" s="114" t="n"/>
      <c r="N226" s="114" t="n"/>
      <c r="O226" s="113" t="n"/>
      <c r="P226" s="113" t="n"/>
      <c r="Q226" s="113" t="n"/>
      <c r="R226" s="114" t="n"/>
      <c r="S226" s="86" t="n"/>
    </row>
    <row r="227" ht="20" customHeight="1">
      <c r="A227" s="27" t="inlineStr">
        <is>
          <t>FP32</t>
        </is>
      </c>
      <c r="B227" s="28" t="n">
        <v>64</v>
      </c>
      <c r="C227" s="28" t="n">
        <v>64</v>
      </c>
      <c r="D227" s="28" t="n">
        <v>7168</v>
      </c>
      <c r="E227" s="99" t="n">
        <v>128</v>
      </c>
      <c r="F227" s="99" t="n">
        <v>64</v>
      </c>
      <c r="G227" s="99" t="n">
        <v>64</v>
      </c>
      <c r="H227" s="28" t="n">
        <v>32</v>
      </c>
      <c r="I227" s="28" t="n">
        <v>16</v>
      </c>
      <c r="J227" s="28" t="n">
        <v>48</v>
      </c>
      <c r="K227" s="115" t="n">
        <v>52137</v>
      </c>
      <c r="L227" s="118">
        <f>ROUND(B227*C227*D227/2048/K227*100,1)/100</f>
        <v/>
      </c>
      <c r="M227" s="117">
        <f>IF(OR(E227="",F227="",G227=""),"",((H227+I227)*1024)/(E227*F227*G227/2048))</f>
        <v/>
      </c>
      <c r="N227" s="117">
        <f>IF(OR(E227="",F227="",G227=""),"",(E227*F227*4)/(E227*F227*G227/2048))</f>
        <v/>
      </c>
      <c r="O227" s="116">
        <f>IF(AND(ISNUMBER(M227),M227&gt;0),MIN(1,128/M227),"")</f>
        <v/>
      </c>
      <c r="P227" s="116">
        <f>IF(AND(ISNUMBER(N227),N227&gt;0),MIN(1,512/N227),"")</f>
        <v/>
      </c>
      <c r="Q227" s="116">
        <f>IF(AND(ISNUMBER(O227),ISNUMBER(P227)),MIN(O227,P227),"")</f>
        <v/>
      </c>
      <c r="R227" s="117">
        <f>IF(AND(ISNUMBER(L227),ISNUMBER(Q227)),(L227-Q227)*100,"")</f>
        <v/>
      </c>
      <c r="S227" s="87" t="inlineStr">
        <is>
          <t>PASS</t>
        </is>
      </c>
      <c r="T227" t="inlineStr">
        <is>
          <t>本轮 model-main 9b3a4405 + 8参数(256KB ShareTReg) 2026-09-22</t>
        </is>
      </c>
    </row>
    <row r="228" ht="20" customHeight="1">
      <c r="A228" s="27" t="inlineStr">
        <is>
          <t>FP32</t>
        </is>
      </c>
      <c r="B228" s="28" t="n">
        <v>64</v>
      </c>
      <c r="C228" s="28" t="n">
        <v>64</v>
      </c>
      <c r="D228" s="28" t="n">
        <v>7168</v>
      </c>
      <c r="E228" s="28" t="n">
        <v>128</v>
      </c>
      <c r="F228" s="28" t="n">
        <v>64</v>
      </c>
      <c r="G228" s="28" t="n">
        <v>128</v>
      </c>
      <c r="H228" s="28" t="n">
        <v>64</v>
      </c>
      <c r="I228" s="28" t="n">
        <v>32</v>
      </c>
      <c r="J228" s="28" t="n">
        <v>96</v>
      </c>
      <c r="K228" s="115" t="n">
        <v>52440</v>
      </c>
      <c r="L228" s="116">
        <f>ROUND(B228*C228*D228/2048/K228*100,1)/100</f>
        <v/>
      </c>
      <c r="M228" s="117">
        <f>IF(OR(E228="",F228="",G228=""),"",((H228+I228)*1024)/(E228*F228*G228/2048))</f>
        <v/>
      </c>
      <c r="N228" s="117">
        <f>IF(OR(E228="",F228="",G228=""),"",(E228*F228*4)/(E228*F228*G228/2048))</f>
        <v/>
      </c>
      <c r="O228" s="116">
        <f>IF(AND(ISNUMBER(M228),M228&gt;0),MIN(1,128/M228),"")</f>
        <v/>
      </c>
      <c r="P228" s="116">
        <f>IF(AND(ISNUMBER(N228),N228&gt;0),MIN(1,512/N228),"")</f>
        <v/>
      </c>
      <c r="Q228" s="116">
        <f>IF(AND(ISNUMBER(O228),ISNUMBER(P228)),MIN(O228,P228),"")</f>
        <v/>
      </c>
      <c r="R228" s="117">
        <f>IF(AND(ISNUMBER(L228),ISNUMBER(Q228)),(L228-Q228)*100,"")</f>
        <v/>
      </c>
      <c r="S228" s="87" t="inlineStr">
        <is>
          <t>PASS</t>
        </is>
      </c>
      <c r="T228" t="inlineStr">
        <is>
          <t>本轮 model-main 9b3a4405 + 8参数(256KB ShareTReg) 2026-09-22</t>
        </is>
      </c>
    </row>
    <row r="229" ht="20" customHeight="1">
      <c r="A229" s="27" t="inlineStr">
        <is>
          <t>FP32</t>
        </is>
      </c>
      <c r="B229" s="28" t="n">
        <v>64</v>
      </c>
      <c r="C229" s="28" t="n">
        <v>64</v>
      </c>
      <c r="D229" s="28" t="n">
        <v>7168</v>
      </c>
      <c r="E229" s="28" t="n">
        <v>128</v>
      </c>
      <c r="F229" s="28" t="n">
        <v>64</v>
      </c>
      <c r="G229" s="28" t="n">
        <v>256</v>
      </c>
      <c r="H229" s="28" t="n">
        <v>128</v>
      </c>
      <c r="I229" s="28" t="n">
        <v>64</v>
      </c>
      <c r="J229" s="28" t="n">
        <v>192</v>
      </c>
      <c r="K229" s="115" t="n">
        <v>91039</v>
      </c>
      <c r="L229" s="116">
        <f>ROUND(B229*C229*D229/2048/K229*100,1)/100</f>
        <v/>
      </c>
      <c r="M229" s="117">
        <f>IF(OR(E229="",F229="",G229=""),"",((H229+I229)*1024)/(E229*F229*G229/2048))</f>
        <v/>
      </c>
      <c r="N229" s="117">
        <f>IF(OR(E229="",F229="",G229=""),"",(E229*F229*4)/(E229*F229*G229/2048))</f>
        <v/>
      </c>
      <c r="O229" s="116">
        <f>IF(AND(ISNUMBER(M229),M229&gt;0),MIN(1,128/M229),"")</f>
        <v/>
      </c>
      <c r="P229" s="116">
        <f>IF(AND(ISNUMBER(N229),N229&gt;0),MIN(1,512/N229),"")</f>
        <v/>
      </c>
      <c r="Q229" s="116">
        <f>IF(AND(ISNUMBER(O229),ISNUMBER(P229)),MIN(O229,P229),"")</f>
        <v/>
      </c>
      <c r="R229" s="117">
        <f>IF(AND(ISNUMBER(L229),ISNUMBER(Q229)),(L229-Q229)*100,"")</f>
        <v/>
      </c>
      <c r="S229" s="87" t="inlineStr">
        <is>
          <t>PASS</t>
        </is>
      </c>
      <c r="T229" t="inlineStr">
        <is>
          <t>本轮 model-main 9b3a4405 + 8参数(256KB ShareTReg) 2026-09-22</t>
        </is>
      </c>
    </row>
    <row r="230" ht="20" customHeight="1">
      <c r="A230" s="27" t="inlineStr">
        <is>
          <t>FP32</t>
        </is>
      </c>
      <c r="B230" s="28" t="n">
        <v>64</v>
      </c>
      <c r="C230" s="28" t="n">
        <v>64</v>
      </c>
      <c r="D230" s="28" t="n">
        <v>7168</v>
      </c>
      <c r="E230" s="28" t="n">
        <v>128</v>
      </c>
      <c r="F230" s="28" t="n">
        <v>64</v>
      </c>
      <c r="G230" s="28" t="n">
        <v>512</v>
      </c>
      <c r="H230" s="28" t="n">
        <v>256</v>
      </c>
      <c r="I230" s="28" t="n">
        <v>128</v>
      </c>
      <c r="J230" s="28" t="n">
        <v>384</v>
      </c>
      <c r="K230" s="115" t="inlineStr">
        <is>
          <t>—</t>
        </is>
      </c>
      <c r="L230" s="116" t="n"/>
      <c r="M230" s="117">
        <f>IF(OR(E230="",F230="",G230=""),"",((H230+I230)*1024)/(E230*F230*G230/2048))</f>
        <v/>
      </c>
      <c r="N230" s="117">
        <f>IF(OR(E230="",F230="",G230=""),"",(E230*F230*4)/(E230*F230*G230/2048))</f>
        <v/>
      </c>
      <c r="O230" s="116">
        <f>IF(AND(ISNUMBER(M230),M230&gt;0),MIN(1,128/M230),"")</f>
        <v/>
      </c>
      <c r="P230" s="116">
        <f>IF(AND(ISNUMBER(N230),N230&gt;0),MIN(1,512/N230),"")</f>
        <v/>
      </c>
      <c r="Q230" s="116">
        <f>IF(AND(ISNUMBER(O230),ISNUMBER(P230)),MIN(O230,P230),"")</f>
        <v/>
      </c>
      <c r="R230" s="117" t="n"/>
      <c r="S230" s="98" t="inlineStr">
        <is>
          <t>COMPILE_FAIL</t>
        </is>
      </c>
      <c r="T230" t="inlineStr">
        <is>
          <t>容量超限：完整 SharedTile 足迹 &gt; 256 KiB；本轮 model-main 9b3a4405 + 8参数(256KB ShareTReg) 2026-09-22</t>
        </is>
      </c>
    </row>
    <row r="231" ht="23" customHeight="1">
      <c r="A231" s="81" t="inlineStr">
        <is>
          <t>BF16</t>
        </is>
      </c>
      <c r="B231" s="82" t="n"/>
      <c r="C231" s="82" t="n"/>
      <c r="D231" s="82" t="n"/>
      <c r="E231" s="82" t="n"/>
      <c r="F231" s="82" t="n"/>
      <c r="G231" s="82" t="n"/>
      <c r="H231" s="82" t="n"/>
      <c r="I231" s="82" t="n"/>
      <c r="J231" s="82" t="n"/>
      <c r="K231" s="112" t="n"/>
      <c r="L231" s="113" t="n"/>
      <c r="M231" s="114" t="n"/>
      <c r="N231" s="114" t="n"/>
      <c r="O231" s="113" t="n"/>
      <c r="P231" s="113" t="n"/>
      <c r="Q231" s="113" t="n"/>
      <c r="R231" s="114" t="n"/>
      <c r="S231" s="86" t="n"/>
    </row>
    <row r="232" ht="20" customHeight="1">
      <c r="A232" s="33" t="inlineStr">
        <is>
          <t>BF16</t>
        </is>
      </c>
      <c r="B232" s="34" t="n">
        <v>64</v>
      </c>
      <c r="C232" s="34" t="n">
        <v>64</v>
      </c>
      <c r="D232" s="34" t="n">
        <v>7168</v>
      </c>
      <c r="E232" s="34" t="n">
        <v>128</v>
      </c>
      <c r="F232" s="34" t="n">
        <v>64</v>
      </c>
      <c r="G232" s="34" t="n">
        <v>64</v>
      </c>
      <c r="H232" s="34" t="n">
        <v>16</v>
      </c>
      <c r="I232" s="34" t="n">
        <v>8</v>
      </c>
      <c r="J232" s="34" t="n">
        <v>24</v>
      </c>
      <c r="K232" s="119" t="n">
        <v>26725</v>
      </c>
      <c r="L232" s="120">
        <f>ROUND(B232*C232*D232/4096/K232*100,1)/100</f>
        <v/>
      </c>
      <c r="M232" s="121">
        <f>IF(OR(E232="",F232="",G232=""),"",((H232+I232)*1024)/(E232*F232*G232/4096))</f>
        <v/>
      </c>
      <c r="N232" s="121">
        <f>IF(OR(E232="",F232="",G232=""),"",(E232*F232*4)/(E232*F232*G232/4096))</f>
        <v/>
      </c>
      <c r="O232" s="120">
        <f>IF(AND(ISNUMBER(M232),M232&gt;0),MIN(1,128/M232),"")</f>
        <v/>
      </c>
      <c r="P232" s="120">
        <f>IF(AND(ISNUMBER(N232),N232&gt;0),MIN(1,512/N232),"")</f>
        <v/>
      </c>
      <c r="Q232" s="120">
        <f>IF(AND(ISNUMBER(O232),ISNUMBER(P232)),MIN(O232,P232),"")</f>
        <v/>
      </c>
      <c r="R232" s="121">
        <f>IF(AND(ISNUMBER(L232),ISNUMBER(Q232)),(L232-Q232)*100,"")</f>
        <v/>
      </c>
      <c r="S232" s="89" t="inlineStr">
        <is>
          <t>PASS</t>
        </is>
      </c>
      <c r="T232" t="inlineStr">
        <is>
          <t>本轮 model-main 9b3a4405 + 8参数(256KB ShareTReg) 2026-09-22</t>
        </is>
      </c>
    </row>
    <row r="233" ht="20" customHeight="1">
      <c r="A233" s="33" t="inlineStr">
        <is>
          <t>BF16</t>
        </is>
      </c>
      <c r="B233" s="34" t="n">
        <v>64</v>
      </c>
      <c r="C233" s="34" t="n">
        <v>64</v>
      </c>
      <c r="D233" s="34" t="n">
        <v>7168</v>
      </c>
      <c r="E233" s="102" t="n">
        <v>128</v>
      </c>
      <c r="F233" s="102" t="n">
        <v>64</v>
      </c>
      <c r="G233" s="102" t="n">
        <v>128</v>
      </c>
      <c r="H233" s="34" t="n">
        <v>32</v>
      </c>
      <c r="I233" s="34" t="n">
        <v>16</v>
      </c>
      <c r="J233" s="34" t="n">
        <v>48</v>
      </c>
      <c r="K233" s="119" t="n">
        <v>26929</v>
      </c>
      <c r="L233" s="118">
        <f>ROUND(B233*C233*D233/4096/K233*100,1)/100</f>
        <v/>
      </c>
      <c r="M233" s="121">
        <f>IF(OR(E233="",F233="",G233=""),"",((H233+I233)*1024)/(E233*F233*G233/4096))</f>
        <v/>
      </c>
      <c r="N233" s="121">
        <f>IF(OR(E233="",F233="",G233=""),"",(E233*F233*4)/(E233*F233*G233/4096))</f>
        <v/>
      </c>
      <c r="O233" s="120">
        <f>IF(AND(ISNUMBER(M233),M233&gt;0),MIN(1,128/M233),"")</f>
        <v/>
      </c>
      <c r="P233" s="120">
        <f>IF(AND(ISNUMBER(N233),N233&gt;0),MIN(1,512/N233),"")</f>
        <v/>
      </c>
      <c r="Q233" s="120">
        <f>IF(AND(ISNUMBER(O233),ISNUMBER(P233)),MIN(O233,P233),"")</f>
        <v/>
      </c>
      <c r="R233" s="121">
        <f>IF(AND(ISNUMBER(L233),ISNUMBER(Q233)),(L233-Q233)*100,"")</f>
        <v/>
      </c>
      <c r="S233" s="89" t="inlineStr">
        <is>
          <t>PASS</t>
        </is>
      </c>
      <c r="T233" t="inlineStr">
        <is>
          <t>本轮 model-main 9b3a4405 + 8参数(256KB ShareTReg) 2026-09-22</t>
        </is>
      </c>
    </row>
    <row r="234" ht="20" customHeight="1">
      <c r="A234" s="33" t="inlineStr">
        <is>
          <t>BF16</t>
        </is>
      </c>
      <c r="B234" s="34" t="n">
        <v>64</v>
      </c>
      <c r="C234" s="34" t="n">
        <v>64</v>
      </c>
      <c r="D234" s="34" t="n">
        <v>7168</v>
      </c>
      <c r="E234" s="34" t="n">
        <v>128</v>
      </c>
      <c r="F234" s="34" t="n">
        <v>64</v>
      </c>
      <c r="G234" s="34" t="n">
        <v>256</v>
      </c>
      <c r="H234" s="34" t="n">
        <v>64</v>
      </c>
      <c r="I234" s="34" t="n">
        <v>32</v>
      </c>
      <c r="J234" s="34" t="n">
        <v>96</v>
      </c>
      <c r="K234" s="119" t="n">
        <v>27206</v>
      </c>
      <c r="L234" s="120">
        <f>ROUND(B234*C234*D234/4096/K234*100,1)/100</f>
        <v/>
      </c>
      <c r="M234" s="121">
        <f>IF(OR(E234="",F234="",G234=""),"",((H234+I234)*1024)/(E234*F234*G234/4096))</f>
        <v/>
      </c>
      <c r="N234" s="121">
        <f>IF(OR(E234="",F234="",G234=""),"",(E234*F234*4)/(E234*F234*G234/4096))</f>
        <v/>
      </c>
      <c r="O234" s="120">
        <f>IF(AND(ISNUMBER(M234),M234&gt;0),MIN(1,128/M234),"")</f>
        <v/>
      </c>
      <c r="P234" s="120">
        <f>IF(AND(ISNUMBER(N234),N234&gt;0),MIN(1,512/N234),"")</f>
        <v/>
      </c>
      <c r="Q234" s="120">
        <f>IF(AND(ISNUMBER(O234),ISNUMBER(P234)),MIN(O234,P234),"")</f>
        <v/>
      </c>
      <c r="R234" s="121">
        <f>IF(AND(ISNUMBER(L234),ISNUMBER(Q234)),(L234-Q234)*100,"")</f>
        <v/>
      </c>
      <c r="S234" s="89" t="inlineStr">
        <is>
          <t>PASS</t>
        </is>
      </c>
      <c r="T234" t="inlineStr">
        <is>
          <t>本轮 model-main 9b3a4405 + 8参数(256KB ShareTReg) 2026-09-22</t>
        </is>
      </c>
    </row>
    <row r="235" ht="20" customHeight="1">
      <c r="A235" s="33" t="inlineStr">
        <is>
          <t>BF16</t>
        </is>
      </c>
      <c r="B235" s="34" t="n">
        <v>64</v>
      </c>
      <c r="C235" s="34" t="n">
        <v>64</v>
      </c>
      <c r="D235" s="34" t="n">
        <v>7168</v>
      </c>
      <c r="E235" s="34" t="n">
        <v>128</v>
      </c>
      <c r="F235" s="34" t="n">
        <v>64</v>
      </c>
      <c r="G235" s="34" t="n">
        <v>512</v>
      </c>
      <c r="H235" s="34" t="n">
        <v>128</v>
      </c>
      <c r="I235" s="34" t="n">
        <v>64</v>
      </c>
      <c r="J235" s="34" t="n">
        <v>192</v>
      </c>
      <c r="K235" s="119" t="n">
        <v>46007</v>
      </c>
      <c r="L235" s="120">
        <f>ROUND(B235*C235*D235/4096/K235*100,1)/100</f>
        <v/>
      </c>
      <c r="M235" s="121">
        <f>IF(OR(E235="",F235="",G235=""),"",((H235+I235)*1024)/(E235*F235*G235/4096))</f>
        <v/>
      </c>
      <c r="N235" s="121">
        <f>IF(OR(E235="",F235="",G235=""),"",(E235*F235*4)/(E235*F235*G235/4096))</f>
        <v/>
      </c>
      <c r="O235" s="120">
        <f>IF(AND(ISNUMBER(M235),M235&gt;0),MIN(1,128/M235),"")</f>
        <v/>
      </c>
      <c r="P235" s="120">
        <f>IF(AND(ISNUMBER(N235),N235&gt;0),MIN(1,512/N235),"")</f>
        <v/>
      </c>
      <c r="Q235" s="120">
        <f>IF(AND(ISNUMBER(O235),ISNUMBER(P235)),MIN(O235,P235),"")</f>
        <v/>
      </c>
      <c r="R235" s="121">
        <f>IF(AND(ISNUMBER(L235),ISNUMBER(Q235)),(L235-Q235)*100,"")</f>
        <v/>
      </c>
      <c r="S235" s="89" t="inlineStr">
        <is>
          <t>PASS</t>
        </is>
      </c>
      <c r="T235" t="inlineStr">
        <is>
          <t>本轮 model-main 9b3a4405 + 8参数(256KB ShareTReg) 2026-09-22</t>
        </is>
      </c>
    </row>
    <row r="236" ht="23" customHeight="1">
      <c r="A236" s="81" t="inlineStr">
        <is>
          <t>FP16</t>
        </is>
      </c>
      <c r="B236" s="82" t="n"/>
      <c r="C236" s="82" t="n"/>
      <c r="D236" s="82" t="n"/>
      <c r="E236" s="82" t="n"/>
      <c r="F236" s="82" t="n"/>
      <c r="G236" s="82" t="n"/>
      <c r="H236" s="82" t="n"/>
      <c r="I236" s="82" t="n"/>
      <c r="J236" s="82" t="n"/>
      <c r="K236" s="112" t="n"/>
      <c r="L236" s="113" t="n"/>
      <c r="M236" s="114" t="n"/>
      <c r="N236" s="114" t="n"/>
      <c r="O236" s="113" t="n"/>
      <c r="P236" s="113" t="n"/>
      <c r="Q236" s="113" t="n"/>
      <c r="R236" s="114" t="n"/>
      <c r="S236" s="86" t="n"/>
    </row>
    <row r="237" ht="20" customHeight="1">
      <c r="A237" s="39" t="inlineStr">
        <is>
          <t>FP16</t>
        </is>
      </c>
      <c r="B237" s="40" t="n">
        <v>64</v>
      </c>
      <c r="C237" s="40" t="n">
        <v>64</v>
      </c>
      <c r="D237" s="40" t="n">
        <v>7168</v>
      </c>
      <c r="E237" s="40" t="n">
        <v>128</v>
      </c>
      <c r="F237" s="40" t="n">
        <v>64</v>
      </c>
      <c r="G237" s="40" t="n">
        <v>64</v>
      </c>
      <c r="H237" s="40" t="n">
        <v>16</v>
      </c>
      <c r="I237" s="40" t="n">
        <v>8</v>
      </c>
      <c r="J237" s="40" t="n">
        <v>24</v>
      </c>
      <c r="K237" s="122" t="n">
        <v>26725</v>
      </c>
      <c r="L237" s="123">
        <f>ROUND(B237*C237*D237/4096/K237*100,1)/100</f>
        <v/>
      </c>
      <c r="M237" s="124">
        <f>IF(OR(E237="",F237="",G237=""),"",((H237+I237)*1024)/(E237*F237*G237/4096))</f>
        <v/>
      </c>
      <c r="N237" s="124">
        <f>IF(OR(E237="",F237="",G237=""),"",(E237*F237*4)/(E237*F237*G237/4096))</f>
        <v/>
      </c>
      <c r="O237" s="123">
        <f>IF(AND(ISNUMBER(M237),M237&gt;0),MIN(1,128/M237),"")</f>
        <v/>
      </c>
      <c r="P237" s="123">
        <f>IF(AND(ISNUMBER(N237),N237&gt;0),MIN(1,512/N237),"")</f>
        <v/>
      </c>
      <c r="Q237" s="123">
        <f>IF(AND(ISNUMBER(O237),ISNUMBER(P237)),MIN(O237,P237),"")</f>
        <v/>
      </c>
      <c r="R237" s="124">
        <f>IF(AND(ISNUMBER(L237),ISNUMBER(Q237)),(L237-Q237)*100,"")</f>
        <v/>
      </c>
      <c r="S237" s="91" t="inlineStr">
        <is>
          <t>PASS</t>
        </is>
      </c>
      <c r="T237" t="inlineStr">
        <is>
          <t>本轮 model-main 9b3a4405 + 8参数(256KB ShareTReg) 2026-09-22</t>
        </is>
      </c>
    </row>
    <row r="238" ht="20" customHeight="1">
      <c r="A238" s="39" t="inlineStr">
        <is>
          <t>FP16</t>
        </is>
      </c>
      <c r="B238" s="40" t="n">
        <v>64</v>
      </c>
      <c r="C238" s="40" t="n">
        <v>64</v>
      </c>
      <c r="D238" s="40" t="n">
        <v>7168</v>
      </c>
      <c r="E238" s="103" t="n">
        <v>128</v>
      </c>
      <c r="F238" s="103" t="n">
        <v>64</v>
      </c>
      <c r="G238" s="103" t="n">
        <v>128</v>
      </c>
      <c r="H238" s="40" t="n">
        <v>32</v>
      </c>
      <c r="I238" s="40" t="n">
        <v>16</v>
      </c>
      <c r="J238" s="40" t="n">
        <v>48</v>
      </c>
      <c r="K238" s="122" t="n">
        <v>26929</v>
      </c>
      <c r="L238" s="118">
        <f>ROUND(B238*C238*D238/4096/K238*100,1)/100</f>
        <v/>
      </c>
      <c r="M238" s="124">
        <f>IF(OR(E238="",F238="",G238=""),"",((H238+I238)*1024)/(E238*F238*G238/4096))</f>
        <v/>
      </c>
      <c r="N238" s="124">
        <f>IF(OR(E238="",F238="",G238=""),"",(E238*F238*4)/(E238*F238*G238/4096))</f>
        <v/>
      </c>
      <c r="O238" s="123">
        <f>IF(AND(ISNUMBER(M238),M238&gt;0),MIN(1,128/M238),"")</f>
        <v/>
      </c>
      <c r="P238" s="123">
        <f>IF(AND(ISNUMBER(N238),N238&gt;0),MIN(1,512/N238),"")</f>
        <v/>
      </c>
      <c r="Q238" s="123">
        <f>IF(AND(ISNUMBER(O238),ISNUMBER(P238)),MIN(O238,P238),"")</f>
        <v/>
      </c>
      <c r="R238" s="124">
        <f>IF(AND(ISNUMBER(L238),ISNUMBER(Q238)),(L238-Q238)*100,"")</f>
        <v/>
      </c>
      <c r="S238" s="91" t="inlineStr">
        <is>
          <t>PASS</t>
        </is>
      </c>
      <c r="T238" t="inlineStr">
        <is>
          <t>本轮 model-main 9b3a4405 + 8参数(256KB ShareTReg) 2026-09-22</t>
        </is>
      </c>
    </row>
    <row r="239" ht="20" customHeight="1">
      <c r="A239" s="39" t="inlineStr">
        <is>
          <t>FP16</t>
        </is>
      </c>
      <c r="B239" s="40" t="n">
        <v>64</v>
      </c>
      <c r="C239" s="40" t="n">
        <v>64</v>
      </c>
      <c r="D239" s="40" t="n">
        <v>7168</v>
      </c>
      <c r="E239" s="40" t="n">
        <v>128</v>
      </c>
      <c r="F239" s="40" t="n">
        <v>64</v>
      </c>
      <c r="G239" s="40" t="n">
        <v>256</v>
      </c>
      <c r="H239" s="40" t="n">
        <v>64</v>
      </c>
      <c r="I239" s="40" t="n">
        <v>32</v>
      </c>
      <c r="J239" s="40" t="n">
        <v>96</v>
      </c>
      <c r="K239" s="122" t="n">
        <v>27206</v>
      </c>
      <c r="L239" s="123">
        <f>ROUND(B239*C239*D239/4096/K239*100,1)/100</f>
        <v/>
      </c>
      <c r="M239" s="124">
        <f>IF(OR(E239="",F239="",G239=""),"",((H239+I239)*1024)/(E239*F239*G239/4096))</f>
        <v/>
      </c>
      <c r="N239" s="124">
        <f>IF(OR(E239="",F239="",G239=""),"",(E239*F239*4)/(E239*F239*G239/4096))</f>
        <v/>
      </c>
      <c r="O239" s="123">
        <f>IF(AND(ISNUMBER(M239),M239&gt;0),MIN(1,128/M239),"")</f>
        <v/>
      </c>
      <c r="P239" s="123">
        <f>IF(AND(ISNUMBER(N239),N239&gt;0),MIN(1,512/N239),"")</f>
        <v/>
      </c>
      <c r="Q239" s="123">
        <f>IF(AND(ISNUMBER(O239),ISNUMBER(P239)),MIN(O239,P239),"")</f>
        <v/>
      </c>
      <c r="R239" s="124">
        <f>IF(AND(ISNUMBER(L239),ISNUMBER(Q239)),(L239-Q239)*100,"")</f>
        <v/>
      </c>
      <c r="S239" s="91" t="inlineStr">
        <is>
          <t>PASS</t>
        </is>
      </c>
      <c r="T239" t="inlineStr">
        <is>
          <t>本轮 model-main 9b3a4405 + 8参数(256KB ShareTReg) 2026-09-22</t>
        </is>
      </c>
    </row>
    <row r="240" ht="20" customHeight="1">
      <c r="A240" s="39" t="inlineStr">
        <is>
          <t>FP16</t>
        </is>
      </c>
      <c r="B240" s="40" t="n">
        <v>64</v>
      </c>
      <c r="C240" s="40" t="n">
        <v>64</v>
      </c>
      <c r="D240" s="40" t="n">
        <v>7168</v>
      </c>
      <c r="E240" s="40" t="n">
        <v>128</v>
      </c>
      <c r="F240" s="40" t="n">
        <v>64</v>
      </c>
      <c r="G240" s="40" t="n">
        <v>512</v>
      </c>
      <c r="H240" s="40" t="n">
        <v>128</v>
      </c>
      <c r="I240" s="40" t="n">
        <v>64</v>
      </c>
      <c r="J240" s="40" t="n">
        <v>192</v>
      </c>
      <c r="K240" s="122" t="n">
        <v>46007</v>
      </c>
      <c r="L240" s="123">
        <f>ROUND(B240*C240*D240/4096/K240*100,1)/100</f>
        <v/>
      </c>
      <c r="M240" s="124">
        <f>IF(OR(E240="",F240="",G240=""),"",((H240+I240)*1024)/(E240*F240*G240/4096))</f>
        <v/>
      </c>
      <c r="N240" s="124">
        <f>IF(OR(E240="",F240="",G240=""),"",(E240*F240*4)/(E240*F240*G240/4096))</f>
        <v/>
      </c>
      <c r="O240" s="123">
        <f>IF(AND(ISNUMBER(M240),M240&gt;0),MIN(1,128/M240),"")</f>
        <v/>
      </c>
      <c r="P240" s="123">
        <f>IF(AND(ISNUMBER(N240),N240&gt;0),MIN(1,512/N240),"")</f>
        <v/>
      </c>
      <c r="Q240" s="123">
        <f>IF(AND(ISNUMBER(O240),ISNUMBER(P240)),MIN(O240,P240),"")</f>
        <v/>
      </c>
      <c r="R240" s="124">
        <f>IF(AND(ISNUMBER(L240),ISNUMBER(Q240)),(L240-Q240)*100,"")</f>
        <v/>
      </c>
      <c r="S240" s="91" t="inlineStr">
        <is>
          <t>PASS</t>
        </is>
      </c>
      <c r="T240" t="inlineStr">
        <is>
          <t>本轮 model-main 9b3a4405 + 8参数(256KB ShareTReg) 2026-09-22</t>
        </is>
      </c>
    </row>
    <row r="241" ht="23" customHeight="1">
      <c r="A241" s="81" t="inlineStr">
        <is>
          <t>FP8</t>
        </is>
      </c>
      <c r="B241" s="82" t="n"/>
      <c r="C241" s="82" t="n"/>
      <c r="D241" s="82" t="n"/>
      <c r="E241" s="82" t="n"/>
      <c r="F241" s="82" t="n"/>
      <c r="G241" s="82" t="n"/>
      <c r="H241" s="82" t="n"/>
      <c r="I241" s="82" t="n"/>
      <c r="J241" s="82" t="n"/>
      <c r="K241" s="112" t="n"/>
      <c r="L241" s="113" t="n"/>
      <c r="M241" s="114" t="n"/>
      <c r="N241" s="114" t="n"/>
      <c r="O241" s="113" t="n"/>
      <c r="P241" s="113" t="n"/>
      <c r="Q241" s="113" t="n"/>
      <c r="R241" s="114" t="n"/>
      <c r="S241" s="86" t="n"/>
    </row>
    <row r="242" ht="20" customHeight="1">
      <c r="A242" s="45" t="inlineStr">
        <is>
          <t>FP8</t>
        </is>
      </c>
      <c r="B242" s="46" t="n">
        <v>64</v>
      </c>
      <c r="C242" s="46" t="n">
        <v>64</v>
      </c>
      <c r="D242" s="46" t="n">
        <v>7168</v>
      </c>
      <c r="E242" s="104" t="n">
        <v>128</v>
      </c>
      <c r="F242" s="104" t="n">
        <v>64</v>
      </c>
      <c r="G242" s="104" t="n">
        <v>256</v>
      </c>
      <c r="H242" s="46" t="n">
        <v>32</v>
      </c>
      <c r="I242" s="46" t="n">
        <v>16</v>
      </c>
      <c r="J242" s="46" t="n">
        <v>48</v>
      </c>
      <c r="K242" s="125" t="n">
        <v>14332</v>
      </c>
      <c r="L242" s="118">
        <f>ROUND(B242*C242*D242/8192/K242*100,1)/100</f>
        <v/>
      </c>
      <c r="M242" s="127">
        <f>IF(OR(E242="",F242="",G242=""),"",((H242+I242)*1024)/(E242*F242*G242/8192))</f>
        <v/>
      </c>
      <c r="N242" s="127">
        <f>IF(OR(E242="",F242="",G242=""),"",(E242*F242*4)/(E242*F242*G242/8192))</f>
        <v/>
      </c>
      <c r="O242" s="126">
        <f>IF(AND(ISNUMBER(M242),M242&gt;0),MIN(1,128/M242),"")</f>
        <v/>
      </c>
      <c r="P242" s="126">
        <f>IF(AND(ISNUMBER(N242),N242&gt;0),MIN(1,512/N242),"")</f>
        <v/>
      </c>
      <c r="Q242" s="126">
        <f>IF(AND(ISNUMBER(O242),ISNUMBER(P242)),MIN(O242,P242),"")</f>
        <v/>
      </c>
      <c r="R242" s="127">
        <f>IF(AND(ISNUMBER(L242),ISNUMBER(Q242)),(L242-Q242)*100,"")</f>
        <v/>
      </c>
      <c r="S242" s="92" t="inlineStr">
        <is>
          <t>PASS</t>
        </is>
      </c>
      <c r="T242" t="inlineStr">
        <is>
          <t>本轮 model-main 9b3a4405 + 8参数(256KB ShareTReg) 2026-09-22</t>
        </is>
      </c>
    </row>
    <row r="243" ht="20" customHeight="1">
      <c r="A243" s="45" t="inlineStr">
        <is>
          <t>FP8</t>
        </is>
      </c>
      <c r="B243" s="46" t="n">
        <v>64</v>
      </c>
      <c r="C243" s="46" t="n">
        <v>64</v>
      </c>
      <c r="D243" s="46" t="n">
        <v>7168</v>
      </c>
      <c r="E243" s="46" t="n">
        <v>128</v>
      </c>
      <c r="F243" s="46" t="n">
        <v>64</v>
      </c>
      <c r="G243" s="46" t="n">
        <v>512</v>
      </c>
      <c r="H243" s="46" t="n">
        <v>64</v>
      </c>
      <c r="I243" s="46" t="n">
        <v>32</v>
      </c>
      <c r="J243" s="46" t="n">
        <v>96</v>
      </c>
      <c r="K243" s="125" t="n">
        <v>14536</v>
      </c>
      <c r="L243" s="126">
        <f>ROUND(B243*C243*D243/8192/K243*100,1)/100</f>
        <v/>
      </c>
      <c r="M243" s="127">
        <f>IF(OR(E243="",F243="",G243=""),"",((H243+I243)*1024)/(E243*F243*G243/8192))</f>
        <v/>
      </c>
      <c r="N243" s="127">
        <f>IF(OR(E243="",F243="",G243=""),"",(E243*F243*4)/(E243*F243*G243/8192))</f>
        <v/>
      </c>
      <c r="O243" s="126">
        <f>IF(AND(ISNUMBER(M243),M243&gt;0),MIN(1,128/M243),"")</f>
        <v/>
      </c>
      <c r="P243" s="126">
        <f>IF(AND(ISNUMBER(N243),N243&gt;0),MIN(1,512/N243),"")</f>
        <v/>
      </c>
      <c r="Q243" s="126">
        <f>IF(AND(ISNUMBER(O243),ISNUMBER(P243)),MIN(O243,P243),"")</f>
        <v/>
      </c>
      <c r="R243" s="127">
        <f>IF(AND(ISNUMBER(L243),ISNUMBER(Q243)),(L243-Q243)*100,"")</f>
        <v/>
      </c>
      <c r="S243" s="92" t="inlineStr">
        <is>
          <t>PASS</t>
        </is>
      </c>
      <c r="T243" t="inlineStr">
        <is>
          <t>本轮 model-main 9b3a4405 + 8参数(256KB ShareTReg) 2026-09-22</t>
        </is>
      </c>
    </row>
    <row r="244" ht="20" customHeight="1">
      <c r="A244" s="45" t="inlineStr">
        <is>
          <t>FP8</t>
        </is>
      </c>
      <c r="B244" s="46" t="n">
        <v>64</v>
      </c>
      <c r="C244" s="46" t="n">
        <v>64</v>
      </c>
      <c r="D244" s="46" t="n">
        <v>7168</v>
      </c>
      <c r="E244" s="46" t="n">
        <v>128</v>
      </c>
      <c r="F244" s="46" t="n">
        <v>64</v>
      </c>
      <c r="G244" s="46" t="n">
        <v>1024</v>
      </c>
      <c r="H244" s="46" t="n">
        <v>128</v>
      </c>
      <c r="I244" s="46" t="n">
        <v>64</v>
      </c>
      <c r="J244" s="46" t="n">
        <v>192</v>
      </c>
      <c r="K244" s="125" t="n">
        <v>23435</v>
      </c>
      <c r="L244" s="126">
        <f>ROUND(B244*C244*D244/8192/K244*100,1)/100</f>
        <v/>
      </c>
      <c r="M244" s="127">
        <f>IF(OR(E244="",F244="",G244=""),"",((H244+I244)*1024)/(E244*F244*G244/8192))</f>
        <v/>
      </c>
      <c r="N244" s="127">
        <f>IF(OR(E244="",F244="",G244=""),"",(E244*F244*4)/(E244*F244*G244/8192))</f>
        <v/>
      </c>
      <c r="O244" s="126">
        <f>IF(AND(ISNUMBER(M244),M244&gt;0),MIN(1,128/M244),"")</f>
        <v/>
      </c>
      <c r="P244" s="126">
        <f>IF(AND(ISNUMBER(N244),N244&gt;0),MIN(1,512/N244),"")</f>
        <v/>
      </c>
      <c r="Q244" s="126">
        <f>IF(AND(ISNUMBER(O244),ISNUMBER(P244)),MIN(O244,P244),"")</f>
        <v/>
      </c>
      <c r="R244" s="127">
        <f>IF(AND(ISNUMBER(L244),ISNUMBER(Q244)),(L244-Q244)*100,"")</f>
        <v/>
      </c>
      <c r="S244" s="92" t="inlineStr">
        <is>
          <t>PASS</t>
        </is>
      </c>
      <c r="T244" t="inlineStr">
        <is>
          <t>本轮 model-main 9b3a4405 + 8参数(256KB ShareTReg) 2026-09-22</t>
        </is>
      </c>
    </row>
    <row r="245" ht="23" customHeight="1">
      <c r="A245" s="81" t="inlineStr">
        <is>
          <t>MXFP8</t>
        </is>
      </c>
      <c r="B245" s="82" t="n"/>
      <c r="C245" s="82" t="n"/>
      <c r="D245" s="82" t="n"/>
      <c r="E245" s="82" t="n"/>
      <c r="F245" s="82" t="n"/>
      <c r="G245" s="82" t="n"/>
      <c r="H245" s="82" t="n"/>
      <c r="I245" s="82" t="n"/>
      <c r="J245" s="82" t="n"/>
      <c r="K245" s="112" t="n"/>
      <c r="L245" s="113" t="n"/>
      <c r="M245" s="114" t="n"/>
      <c r="N245" s="114" t="n"/>
      <c r="O245" s="113" t="n"/>
      <c r="P245" s="113" t="n"/>
      <c r="Q245" s="113" t="n"/>
      <c r="R245" s="114" t="n"/>
      <c r="S245" s="86" t="n"/>
    </row>
    <row r="246" ht="20" customHeight="1">
      <c r="A246" s="27" t="inlineStr">
        <is>
          <t>MXFP8</t>
        </is>
      </c>
      <c r="B246" s="28" t="n">
        <v>64</v>
      </c>
      <c r="C246" s="28" t="n">
        <v>64</v>
      </c>
      <c r="D246" s="28" t="n">
        <v>7168</v>
      </c>
      <c r="E246" s="28" t="n">
        <v>128</v>
      </c>
      <c r="F246" s="28" t="n">
        <v>64</v>
      </c>
      <c r="G246" s="28" t="n">
        <v>256</v>
      </c>
      <c r="H246" s="28" t="n">
        <v>36</v>
      </c>
      <c r="I246" s="28" t="n">
        <v>18</v>
      </c>
      <c r="J246" s="28" t="n">
        <v>54</v>
      </c>
      <c r="K246" s="115" t="n">
        <v>16586</v>
      </c>
      <c r="L246" s="116">
        <f>ROUND(B246*C246*D246/8192/K246*100,1)/100</f>
        <v/>
      </c>
      <c r="M246" s="117">
        <f>IF(OR(E246="",F246="",G246=""),"",((H246+I246)*1024)/(E246*F246*G246/8192))</f>
        <v/>
      </c>
      <c r="N246" s="117">
        <f>IF(OR(E246="",F246="",G246=""),"",(E246*F246*4)/(E246*F246*G246/8192))</f>
        <v/>
      </c>
      <c r="O246" s="116">
        <f>IF(AND(ISNUMBER(M246),M246&gt;0),MIN(1,128/M246),"")</f>
        <v/>
      </c>
      <c r="P246" s="116">
        <f>IF(AND(ISNUMBER(N246),N246&gt;0),MIN(1,512/N246),"")</f>
        <v/>
      </c>
      <c r="Q246" s="116">
        <f>IF(AND(ISNUMBER(O246),ISNUMBER(P246)),MIN(O246,P246),"")</f>
        <v/>
      </c>
      <c r="R246" s="117">
        <f>IF(AND(ISNUMBER(L246),ISNUMBER(Q246)),(L246-Q246)*100,"")</f>
        <v/>
      </c>
      <c r="S246" s="87" t="inlineStr">
        <is>
          <t>PASS</t>
        </is>
      </c>
      <c r="T246" t="inlineStr">
        <is>
          <t>本轮 model-main 9b3a4405 + 8参数(256KB ShareTReg) 2026-09-22</t>
        </is>
      </c>
    </row>
    <row r="247" ht="20" customHeight="1">
      <c r="A247" s="27" t="inlineStr">
        <is>
          <t>MXFP8</t>
        </is>
      </c>
      <c r="B247" s="28" t="n">
        <v>64</v>
      </c>
      <c r="C247" s="28" t="n">
        <v>64</v>
      </c>
      <c r="D247" s="28" t="n">
        <v>7168</v>
      </c>
      <c r="E247" s="99" t="n">
        <v>128</v>
      </c>
      <c r="F247" s="99" t="n">
        <v>64</v>
      </c>
      <c r="G247" s="99" t="n">
        <v>512</v>
      </c>
      <c r="H247" s="28" t="n">
        <v>68</v>
      </c>
      <c r="I247" s="28" t="n">
        <v>34</v>
      </c>
      <c r="J247" s="28" t="n">
        <v>102</v>
      </c>
      <c r="K247" s="115" t="n">
        <v>16684</v>
      </c>
      <c r="L247" s="118">
        <f>ROUND(B247*C247*D247/8192/K247*100,1)/100</f>
        <v/>
      </c>
      <c r="M247" s="117">
        <f>IF(OR(E247="",F247="",G247=""),"",((H247+I247)*1024)/(E247*F247*G247/8192))</f>
        <v/>
      </c>
      <c r="N247" s="117">
        <f>IF(OR(E247="",F247="",G247=""),"",(E247*F247*4)/(E247*F247*G247/8192))</f>
        <v/>
      </c>
      <c r="O247" s="116">
        <f>IF(AND(ISNUMBER(M247),M247&gt;0),MIN(1,128/M247),"")</f>
        <v/>
      </c>
      <c r="P247" s="116">
        <f>IF(AND(ISNUMBER(N247),N247&gt;0),MIN(1,512/N247),"")</f>
        <v/>
      </c>
      <c r="Q247" s="116">
        <f>IF(AND(ISNUMBER(O247),ISNUMBER(P247)),MIN(O247,P247),"")</f>
        <v/>
      </c>
      <c r="R247" s="117">
        <f>IF(AND(ISNUMBER(L247),ISNUMBER(Q247)),(L247-Q247)*100,"")</f>
        <v/>
      </c>
      <c r="S247" s="87" t="inlineStr">
        <is>
          <t>PASS</t>
        </is>
      </c>
      <c r="T247" t="inlineStr">
        <is>
          <t>本轮 model-main 9b3a4405 + 8参数(256KB ShareTReg) 2026-09-22</t>
        </is>
      </c>
    </row>
    <row r="248" ht="20" customHeight="1">
      <c r="A248" s="27" t="inlineStr">
        <is>
          <t>MXFP8</t>
        </is>
      </c>
      <c r="B248" s="28" t="n">
        <v>64</v>
      </c>
      <c r="C248" s="28" t="n">
        <v>64</v>
      </c>
      <c r="D248" s="28" t="n">
        <v>7168</v>
      </c>
      <c r="E248" s="28" t="n">
        <v>128</v>
      </c>
      <c r="F248" s="28" t="n">
        <v>64</v>
      </c>
      <c r="G248" s="28" t="n">
        <v>1024</v>
      </c>
      <c r="H248" s="28" t="n">
        <v>132</v>
      </c>
      <c r="I248" s="28" t="n">
        <v>66</v>
      </c>
      <c r="J248" s="28" t="n">
        <v>198</v>
      </c>
      <c r="K248" s="115" t="n">
        <v>26342</v>
      </c>
      <c r="L248" s="116">
        <f>ROUND(B248*C248*D248/8192/K248*100,1)/100</f>
        <v/>
      </c>
      <c r="M248" s="117">
        <f>IF(OR(E248="",F248="",G248=""),"",((H248+I248)*1024)/(E248*F248*G248/8192))</f>
        <v/>
      </c>
      <c r="N248" s="117">
        <f>IF(OR(E248="",F248="",G248=""),"",(E248*F248*4)/(E248*F248*G248/8192))</f>
        <v/>
      </c>
      <c r="O248" s="116">
        <f>IF(AND(ISNUMBER(M248),M248&gt;0),MIN(1,128/M248),"")</f>
        <v/>
      </c>
      <c r="P248" s="116">
        <f>IF(AND(ISNUMBER(N248),N248&gt;0),MIN(1,512/N248),"")</f>
        <v/>
      </c>
      <c r="Q248" s="116">
        <f>IF(AND(ISNUMBER(O248),ISNUMBER(P248)),MIN(O248,P248),"")</f>
        <v/>
      </c>
      <c r="R248" s="117">
        <f>IF(AND(ISNUMBER(L248),ISNUMBER(Q248)),(L248-Q248)*100,"")</f>
        <v/>
      </c>
      <c r="S248" s="87" t="inlineStr">
        <is>
          <t>PASS</t>
        </is>
      </c>
      <c r="T248" t="inlineStr">
        <is>
          <t>本轮 model-main 9b3a4405 + 8参数(256KB ShareTReg) 2026-09-22</t>
        </is>
      </c>
    </row>
    <row r="249" ht="23" customHeight="1">
      <c r="A249" s="81" t="inlineStr">
        <is>
          <t>MXFP4</t>
        </is>
      </c>
      <c r="B249" s="82" t="n"/>
      <c r="C249" s="82" t="n"/>
      <c r="D249" s="82" t="n"/>
      <c r="E249" s="82" t="n"/>
      <c r="F249" s="82" t="n"/>
      <c r="G249" s="82" t="n"/>
      <c r="H249" s="82" t="n"/>
      <c r="I249" s="82" t="n"/>
      <c r="J249" s="82" t="n"/>
      <c r="K249" s="112" t="n"/>
      <c r="L249" s="113" t="n"/>
      <c r="M249" s="114" t="n"/>
      <c r="N249" s="114" t="n"/>
      <c r="O249" s="113" t="n"/>
      <c r="P249" s="113" t="n"/>
      <c r="Q249" s="113" t="n"/>
      <c r="R249" s="114" t="n"/>
      <c r="S249" s="86" t="n"/>
    </row>
    <row r="250" ht="20" customHeight="1">
      <c r="A250" s="33" t="inlineStr">
        <is>
          <t>MXFP4</t>
        </is>
      </c>
      <c r="B250" s="34" t="n">
        <v>64</v>
      </c>
      <c r="C250" s="34" t="n">
        <v>64</v>
      </c>
      <c r="D250" s="34" t="n">
        <v>7168</v>
      </c>
      <c r="E250" s="102" t="n">
        <v>128</v>
      </c>
      <c r="F250" s="102" t="n">
        <v>64</v>
      </c>
      <c r="G250" s="102" t="n">
        <v>256</v>
      </c>
      <c r="H250" s="34" t="n">
        <v>36</v>
      </c>
      <c r="I250" s="34" t="n">
        <v>18</v>
      </c>
      <c r="J250" s="34" t="n">
        <v>54</v>
      </c>
      <c r="K250" s="119" t="n">
        <v>17782</v>
      </c>
      <c r="L250" s="118">
        <f>ROUND(B250*C250*D250/16384/K250*100,1)/100</f>
        <v/>
      </c>
      <c r="M250" s="121">
        <f>IF(OR(E250="",F250="",G250=""),"",((H250+I250)*1024)/(E250*F250*G250/16384))</f>
        <v/>
      </c>
      <c r="N250" s="121">
        <f>IF(OR(E250="",F250="",G250=""),"",(E250*F250*4)/(E250*F250*G250/16384))</f>
        <v/>
      </c>
      <c r="O250" s="120">
        <f>IF(AND(ISNUMBER(M250),M250&gt;0),MIN(1,128/M250),"")</f>
        <v/>
      </c>
      <c r="P250" s="120">
        <f>IF(AND(ISNUMBER(N250),N250&gt;0),MIN(1,512/N250),"")</f>
        <v/>
      </c>
      <c r="Q250" s="120">
        <f>IF(AND(ISNUMBER(O250),ISNUMBER(P250)),MIN(O250,P250),"")</f>
        <v/>
      </c>
      <c r="R250" s="121">
        <f>IF(AND(ISNUMBER(L250),ISNUMBER(Q250)),(L250-Q250)*100,"")</f>
        <v/>
      </c>
      <c r="S250" s="89" t="inlineStr">
        <is>
          <t>PASS</t>
        </is>
      </c>
      <c r="T250" t="inlineStr">
        <is>
          <t>本轮 model-main 9b3a4405 + 8参数(256KB ShareTReg) 2026-09-22</t>
        </is>
      </c>
    </row>
    <row r="251" ht="20" customHeight="1">
      <c r="A251" s="33" t="inlineStr">
        <is>
          <t>MXFP4</t>
        </is>
      </c>
      <c r="B251" s="34" t="n">
        <v>64</v>
      </c>
      <c r="C251" s="34" t="n">
        <v>64</v>
      </c>
      <c r="D251" s="34" t="n">
        <v>7168</v>
      </c>
      <c r="E251" s="34" t="n">
        <v>128</v>
      </c>
      <c r="F251" s="34" t="n">
        <v>64</v>
      </c>
      <c r="G251" s="34" t="n">
        <v>512</v>
      </c>
      <c r="H251" s="34" t="n">
        <v>68</v>
      </c>
      <c r="I251" s="34" t="n">
        <v>34</v>
      </c>
      <c r="J251" s="34" t="n">
        <v>102</v>
      </c>
      <c r="K251" s="119" t="n">
        <v>17597</v>
      </c>
      <c r="L251" s="120">
        <f>ROUND(B251*C251*D251/16384/K251*100,1)/100</f>
        <v/>
      </c>
      <c r="M251" s="121">
        <f>IF(OR(E251="",F251="",G251=""),"",((H251+I251)*1024)/(E251*F251*G251/16384))</f>
        <v/>
      </c>
      <c r="N251" s="121">
        <f>IF(OR(E251="",F251="",G251=""),"",(E251*F251*4)/(E251*F251*G251/16384))</f>
        <v/>
      </c>
      <c r="O251" s="120">
        <f>IF(AND(ISNUMBER(M251),M251&gt;0),MIN(1,128/M251),"")</f>
        <v/>
      </c>
      <c r="P251" s="120">
        <f>IF(AND(ISNUMBER(N251),N251&gt;0),MIN(1,512/N251),"")</f>
        <v/>
      </c>
      <c r="Q251" s="120">
        <f>IF(AND(ISNUMBER(O251),ISNUMBER(P251)),MIN(O251,P251),"")</f>
        <v/>
      </c>
      <c r="R251" s="121">
        <f>IF(AND(ISNUMBER(L251),ISNUMBER(Q251)),(L251-Q251)*100,"")</f>
        <v/>
      </c>
      <c r="S251" s="89" t="inlineStr">
        <is>
          <t>PASS</t>
        </is>
      </c>
      <c r="T251" t="inlineStr">
        <is>
          <t>本轮 model-main 9b3a4405 + 8参数(256KB ShareTReg) 2026-09-22</t>
        </is>
      </c>
    </row>
    <row r="252" ht="20" customHeight="1">
      <c r="A252" s="33" t="inlineStr">
        <is>
          <t>MXFP4</t>
        </is>
      </c>
      <c r="B252" s="34" t="n">
        <v>64</v>
      </c>
      <c r="C252" s="34" t="n">
        <v>64</v>
      </c>
      <c r="D252" s="34" t="n">
        <v>7168</v>
      </c>
      <c r="E252" s="34" t="n">
        <v>128</v>
      </c>
      <c r="F252" s="34" t="n">
        <v>64</v>
      </c>
      <c r="G252" s="34" t="n">
        <v>1024</v>
      </c>
      <c r="H252" s="34" t="n">
        <v>132</v>
      </c>
      <c r="I252" s="34" t="n">
        <v>66</v>
      </c>
      <c r="J252" s="34" t="n">
        <v>198</v>
      </c>
      <c r="K252" s="119" t="n">
        <v>24637</v>
      </c>
      <c r="L252" s="120">
        <f>ROUND(B252*C252*D252/16384/K252*100,1)/100</f>
        <v/>
      </c>
      <c r="M252" s="121">
        <f>IF(OR(E252="",F252="",G252=""),"",((H252+I252)*1024)/(E252*F252*G252/16384))</f>
        <v/>
      </c>
      <c r="N252" s="121">
        <f>IF(OR(E252="",F252="",G252=""),"",(E252*F252*4)/(E252*F252*G252/16384))</f>
        <v/>
      </c>
      <c r="O252" s="120">
        <f>IF(AND(ISNUMBER(M252),M252&gt;0),MIN(1,128/M252),"")</f>
        <v/>
      </c>
      <c r="P252" s="120">
        <f>IF(AND(ISNUMBER(N252),N252&gt;0),MIN(1,512/N252),"")</f>
        <v/>
      </c>
      <c r="Q252" s="120">
        <f>IF(AND(ISNUMBER(O252),ISNUMBER(P252)),MIN(O252,P252),"")</f>
        <v/>
      </c>
      <c r="R252" s="121">
        <f>IF(AND(ISNUMBER(L252),ISNUMBER(Q252)),(L252-Q252)*100,"")</f>
        <v/>
      </c>
      <c r="S252" s="89" t="inlineStr">
        <is>
          <t>PASS</t>
        </is>
      </c>
      <c r="T252" t="inlineStr">
        <is>
          <t>本轮 model-main 9b3a4405 + 8参数(256KB ShareTReg) 2026-09-22</t>
        </is>
      </c>
    </row>
    <row r="253" ht="26" customHeight="1">
      <c r="A253" s="63" t="inlineStr">
        <is>
          <t>▌ S6  —  128×256×32768</t>
        </is>
      </c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109" t="n"/>
      <c r="L253" s="110" t="n"/>
      <c r="M253" s="111" t="n"/>
      <c r="N253" s="111" t="n"/>
      <c r="O253" s="110" t="n"/>
      <c r="P253" s="110" t="n"/>
      <c r="Q253" s="110" t="n"/>
      <c r="R253" s="111" t="n"/>
      <c r="S253" s="68" t="n"/>
    </row>
    <row r="254" ht="23" customHeight="1">
      <c r="A254" s="81" t="inlineStr">
        <is>
          <t>FP32</t>
        </is>
      </c>
      <c r="B254" s="82" t="n"/>
      <c r="C254" s="82" t="n"/>
      <c r="D254" s="82" t="n"/>
      <c r="E254" s="82" t="n"/>
      <c r="F254" s="82" t="n"/>
      <c r="G254" s="82" t="n"/>
      <c r="H254" s="82" t="n"/>
      <c r="I254" s="82" t="n"/>
      <c r="J254" s="82" t="n"/>
      <c r="K254" s="112" t="n"/>
      <c r="L254" s="113" t="n"/>
      <c r="M254" s="114" t="n"/>
      <c r="N254" s="114" t="n"/>
      <c r="O254" s="113" t="n"/>
      <c r="P254" s="113" t="n"/>
      <c r="Q254" s="113" t="n"/>
      <c r="R254" s="114" t="n"/>
      <c r="S254" s="86" t="n"/>
    </row>
    <row r="255" ht="20" customHeight="1">
      <c r="A255" s="39" t="inlineStr">
        <is>
          <t>FP32</t>
        </is>
      </c>
      <c r="B255" s="40" t="n">
        <v>128</v>
      </c>
      <c r="C255" s="40" t="n">
        <v>256</v>
      </c>
      <c r="D255" s="40" t="n">
        <v>32768</v>
      </c>
      <c r="E255" s="40" t="n">
        <v>128</v>
      </c>
      <c r="F255" s="40" t="n">
        <v>64</v>
      </c>
      <c r="G255" s="40" t="n">
        <v>64</v>
      </c>
      <c r="H255" s="40" t="n">
        <v>32</v>
      </c>
      <c r="I255" s="40" t="n">
        <v>16</v>
      </c>
      <c r="J255" s="40" t="n">
        <v>48</v>
      </c>
      <c r="K255" s="122" t="n">
        <v>1389434</v>
      </c>
      <c r="L255" s="123">
        <f>ROUND(B255*C255*D255/2048/K255*100,1)/100</f>
        <v/>
      </c>
      <c r="M255" s="124">
        <f>IF(OR(E255="",F255="",G255=""),"",((H255+I255)*1024)/(E255*F255*G255/2048))</f>
        <v/>
      </c>
      <c r="N255" s="124">
        <f>IF(OR(E255="",F255="",G255=""),"",(E255*F255*4)/(E255*F255*G255/2048))</f>
        <v/>
      </c>
      <c r="O255" s="123">
        <f>IF(AND(ISNUMBER(M255),M255&gt;0),MIN(1,128/M255),"")</f>
        <v/>
      </c>
      <c r="P255" s="123">
        <f>IF(AND(ISNUMBER(N255),N255&gt;0),MIN(1,512/N255),"")</f>
        <v/>
      </c>
      <c r="Q255" s="123">
        <f>IF(AND(ISNUMBER(O255),ISNUMBER(P255)),MIN(O255,P255),"")</f>
        <v/>
      </c>
      <c r="R255" s="124">
        <f>IF(AND(ISNUMBER(L255),ISNUMBER(Q255)),(L255-Q255)*100,"")</f>
        <v/>
      </c>
      <c r="S255" s="91" t="inlineStr">
        <is>
          <t>PASS</t>
        </is>
      </c>
      <c r="T255" t="inlineStr">
        <is>
          <t>本轮 model-main 9b3a4405 + 8参数(256KB ShareTReg) 2026-09-22</t>
        </is>
      </c>
    </row>
    <row r="256" ht="20" customHeight="1">
      <c r="A256" s="39" t="inlineStr">
        <is>
          <t>FP32</t>
        </is>
      </c>
      <c r="B256" s="40" t="n">
        <v>128</v>
      </c>
      <c r="C256" s="40" t="n">
        <v>256</v>
      </c>
      <c r="D256" s="40" t="n">
        <v>32768</v>
      </c>
      <c r="E256" s="40" t="n">
        <v>128</v>
      </c>
      <c r="F256" s="40" t="n">
        <v>64</v>
      </c>
      <c r="G256" s="40" t="n">
        <v>128</v>
      </c>
      <c r="H256" s="40" t="n">
        <v>64</v>
      </c>
      <c r="I256" s="40" t="n">
        <v>32</v>
      </c>
      <c r="J256" s="40" t="n">
        <v>96</v>
      </c>
      <c r="K256" s="122" t="n">
        <v>1389300</v>
      </c>
      <c r="L256" s="123">
        <f>ROUND(B256*C256*D256/2048/K256*100,1)/100</f>
        <v/>
      </c>
      <c r="M256" s="124">
        <f>IF(OR(E256="",F256="",G256=""),"",((H256+I256)*1024)/(E256*F256*G256/2048))</f>
        <v/>
      </c>
      <c r="N256" s="124">
        <f>IF(OR(E256="",F256="",G256=""),"",(E256*F256*4)/(E256*F256*G256/2048))</f>
        <v/>
      </c>
      <c r="O256" s="123">
        <f>IF(AND(ISNUMBER(M256),M256&gt;0),MIN(1,128/M256),"")</f>
        <v/>
      </c>
      <c r="P256" s="123">
        <f>IF(AND(ISNUMBER(N256),N256&gt;0),MIN(1,512/N256),"")</f>
        <v/>
      </c>
      <c r="Q256" s="123">
        <f>IF(AND(ISNUMBER(O256),ISNUMBER(P256)),MIN(O256,P256),"")</f>
        <v/>
      </c>
      <c r="R256" s="124">
        <f>IF(AND(ISNUMBER(L256),ISNUMBER(Q256)),(L256-Q256)*100,"")</f>
        <v/>
      </c>
      <c r="S256" s="91" t="inlineStr">
        <is>
          <t>PASS</t>
        </is>
      </c>
      <c r="T256" t="inlineStr">
        <is>
          <t>本轮 model-main 9b3a4405 + 8参数(256KB ShareTReg) 2026-09-22</t>
        </is>
      </c>
    </row>
    <row r="257" ht="20" customHeight="1">
      <c r="A257" s="39" t="inlineStr">
        <is>
          <t>FP32</t>
        </is>
      </c>
      <c r="B257" s="40" t="n">
        <v>128</v>
      </c>
      <c r="C257" s="40" t="n">
        <v>256</v>
      </c>
      <c r="D257" s="40" t="n">
        <v>32768</v>
      </c>
      <c r="E257" s="40" t="n">
        <v>128</v>
      </c>
      <c r="F257" s="40" t="n">
        <v>64</v>
      </c>
      <c r="G257" s="40" t="n">
        <v>256</v>
      </c>
      <c r="H257" s="40" t="n">
        <v>128</v>
      </c>
      <c r="I257" s="40" t="n">
        <v>64</v>
      </c>
      <c r="J257" s="40" t="n">
        <v>192</v>
      </c>
      <c r="K257" s="122" t="n">
        <v>2648273</v>
      </c>
      <c r="L257" s="123">
        <f>ROUND(B257*C257*D257/2048/K257*100,1)/100</f>
        <v/>
      </c>
      <c r="M257" s="124">
        <f>IF(OR(E257="",F257="",G257=""),"",((H257+I257)*1024)/(E257*F257*G257/2048))</f>
        <v/>
      </c>
      <c r="N257" s="124">
        <f>IF(OR(E257="",F257="",G257=""),"",(E257*F257*4)/(E257*F257*G257/2048))</f>
        <v/>
      </c>
      <c r="O257" s="123">
        <f>IF(AND(ISNUMBER(M257),M257&gt;0),MIN(1,128/M257),"")</f>
        <v/>
      </c>
      <c r="P257" s="123">
        <f>IF(AND(ISNUMBER(N257),N257&gt;0),MIN(1,512/N257),"")</f>
        <v/>
      </c>
      <c r="Q257" s="123">
        <f>IF(AND(ISNUMBER(O257),ISNUMBER(P257)),MIN(O257,P257),"")</f>
        <v/>
      </c>
      <c r="R257" s="124">
        <f>IF(AND(ISNUMBER(L257),ISNUMBER(Q257)),(L257-Q257)*100,"")</f>
        <v/>
      </c>
      <c r="S257" s="91" t="inlineStr">
        <is>
          <t>PASS</t>
        </is>
      </c>
      <c r="T257" t="inlineStr">
        <is>
          <t>本轮 model-main 9b3a4405 + 8参数(256KB ShareTReg) 2026-09-22</t>
        </is>
      </c>
    </row>
    <row r="258" ht="20" customHeight="1">
      <c r="A258" s="39" t="inlineStr">
        <is>
          <t>FP32</t>
        </is>
      </c>
      <c r="B258" s="40" t="n">
        <v>128</v>
      </c>
      <c r="C258" s="40" t="n">
        <v>256</v>
      </c>
      <c r="D258" s="40" t="n">
        <v>32768</v>
      </c>
      <c r="E258" s="40" t="n">
        <v>128</v>
      </c>
      <c r="F258" s="40" t="n">
        <v>128</v>
      </c>
      <c r="G258" s="40" t="n">
        <v>64</v>
      </c>
      <c r="H258" s="40" t="n">
        <v>32</v>
      </c>
      <c r="I258" s="40" t="n">
        <v>32</v>
      </c>
      <c r="J258" s="40" t="n">
        <v>64</v>
      </c>
      <c r="K258" s="122" t="n">
        <v>926770</v>
      </c>
      <c r="L258" s="123">
        <f>ROUND(B258*C258*D258/2048/K258*100,1)/100</f>
        <v/>
      </c>
      <c r="M258" s="124">
        <f>IF(OR(E258="",F258="",G258=""),"",((H258+I258)*1024)/(E258*F258*G258/2048))</f>
        <v/>
      </c>
      <c r="N258" s="124">
        <f>IF(OR(E258="",F258="",G258=""),"",(E258*F258*4)/(E258*F258*G258/2048))</f>
        <v/>
      </c>
      <c r="O258" s="123">
        <f>IF(AND(ISNUMBER(M258),M258&gt;0),MIN(1,128/M258),"")</f>
        <v/>
      </c>
      <c r="P258" s="123">
        <f>IF(AND(ISNUMBER(N258),N258&gt;0),MIN(1,512/N258),"")</f>
        <v/>
      </c>
      <c r="Q258" s="123">
        <f>IF(AND(ISNUMBER(O258),ISNUMBER(P258)),MIN(O258,P258),"")</f>
        <v/>
      </c>
      <c r="R258" s="124">
        <f>IF(AND(ISNUMBER(L258),ISNUMBER(Q258)),(L258-Q258)*100,"")</f>
        <v/>
      </c>
      <c r="S258" s="91" t="inlineStr">
        <is>
          <t>PASS</t>
        </is>
      </c>
      <c r="T258" t="inlineStr">
        <is>
          <t>本轮 model-main 9b3a4405 + 8参数(256KB ShareTReg) 2026-09-22</t>
        </is>
      </c>
    </row>
    <row r="259" ht="20" customHeight="1">
      <c r="A259" s="39" t="inlineStr">
        <is>
          <t>FP32</t>
        </is>
      </c>
      <c r="B259" s="40" t="n">
        <v>128</v>
      </c>
      <c r="C259" s="40" t="n">
        <v>256</v>
      </c>
      <c r="D259" s="40" t="n">
        <v>32768</v>
      </c>
      <c r="E259" s="40" t="n">
        <v>128</v>
      </c>
      <c r="F259" s="40" t="n">
        <v>128</v>
      </c>
      <c r="G259" s="40" t="n">
        <v>128</v>
      </c>
      <c r="H259" s="40" t="n">
        <v>64</v>
      </c>
      <c r="I259" s="40" t="n">
        <v>64</v>
      </c>
      <c r="J259" s="40" t="n">
        <v>128</v>
      </c>
      <c r="K259" s="122" t="n">
        <v>939124</v>
      </c>
      <c r="L259" s="123">
        <f>ROUND(B259*C259*D259/2048/K259*100,1)/100</f>
        <v/>
      </c>
      <c r="M259" s="124">
        <f>IF(OR(E259="",F259="",G259=""),"",((H259+I259)*1024)/(E259*F259*G259/2048))</f>
        <v/>
      </c>
      <c r="N259" s="124">
        <f>IF(OR(E259="",F259="",G259=""),"",(E259*F259*4)/(E259*F259*G259/2048))</f>
        <v/>
      </c>
      <c r="O259" s="123">
        <f>IF(AND(ISNUMBER(M259),M259&gt;0),MIN(1,128/M259),"")</f>
        <v/>
      </c>
      <c r="P259" s="123">
        <f>IF(AND(ISNUMBER(N259),N259&gt;0),MIN(1,512/N259),"")</f>
        <v/>
      </c>
      <c r="Q259" s="123">
        <f>IF(AND(ISNUMBER(O259),ISNUMBER(P259)),MIN(O259,P259),"")</f>
        <v/>
      </c>
      <c r="R259" s="124">
        <f>IF(AND(ISNUMBER(L259),ISNUMBER(Q259)),(L259-Q259)*100,"")</f>
        <v/>
      </c>
      <c r="S259" s="91" t="inlineStr">
        <is>
          <t>PASS</t>
        </is>
      </c>
      <c r="T259" t="inlineStr">
        <is>
          <t>本轮 model-main 9b3a4405 + 8参数(256KB ShareTReg) 2026-09-22</t>
        </is>
      </c>
    </row>
    <row r="260" ht="20" customHeight="1">
      <c r="A260" s="39" t="inlineStr">
        <is>
          <t>FP32</t>
        </is>
      </c>
      <c r="B260" s="40" t="n">
        <v>128</v>
      </c>
      <c r="C260" s="40" t="n">
        <v>256</v>
      </c>
      <c r="D260" s="40" t="n">
        <v>32768</v>
      </c>
      <c r="E260" s="40" t="n">
        <v>128</v>
      </c>
      <c r="F260" s="40" t="n">
        <v>128</v>
      </c>
      <c r="G260" s="40" t="n">
        <v>256</v>
      </c>
      <c r="H260" s="40" t="n">
        <v>128</v>
      </c>
      <c r="I260" s="40" t="n">
        <v>128</v>
      </c>
      <c r="J260" s="40" t="n">
        <v>256</v>
      </c>
      <c r="K260" s="122" t="n">
        <v>1815878</v>
      </c>
      <c r="L260" s="123">
        <f>ROUND(B260*C260*D260/2048/K260*100,1)/100</f>
        <v/>
      </c>
      <c r="M260" s="124">
        <f>IF(OR(E260="",F260="",G260=""),"",((H260+I260)*1024)/(E260*F260*G260/2048))</f>
        <v/>
      </c>
      <c r="N260" s="124">
        <f>IF(OR(E260="",F260="",G260=""),"",(E260*F260*4)/(E260*F260*G260/2048))</f>
        <v/>
      </c>
      <c r="O260" s="123">
        <f>IF(AND(ISNUMBER(M260),M260&gt;0),MIN(1,128/M260),"")</f>
        <v/>
      </c>
      <c r="P260" s="123">
        <f>IF(AND(ISNUMBER(N260),N260&gt;0),MIN(1,512/N260),"")</f>
        <v/>
      </c>
      <c r="Q260" s="123">
        <f>IF(AND(ISNUMBER(O260),ISNUMBER(P260)),MIN(O260,P260),"")</f>
        <v/>
      </c>
      <c r="R260" s="124">
        <f>IF(AND(ISNUMBER(L260),ISNUMBER(Q260)),(L260-Q260)*100,"")</f>
        <v/>
      </c>
      <c r="S260" s="91" t="inlineStr">
        <is>
          <t>PASS</t>
        </is>
      </c>
      <c r="T260" t="inlineStr">
        <is>
          <t>本轮 model-main 9b3a4405 + 8参数(256KB ShareTReg) 2026-09-22</t>
        </is>
      </c>
    </row>
    <row r="261" ht="20" customHeight="1">
      <c r="A261" s="39" t="inlineStr">
        <is>
          <t>FP32</t>
        </is>
      </c>
      <c r="B261" s="40" t="n">
        <v>128</v>
      </c>
      <c r="C261" s="40" t="n">
        <v>256</v>
      </c>
      <c r="D261" s="40" t="n">
        <v>32768</v>
      </c>
      <c r="E261" s="103" t="n">
        <v>128</v>
      </c>
      <c r="F261" s="103" t="n">
        <v>256</v>
      </c>
      <c r="G261" s="103" t="n">
        <v>64</v>
      </c>
      <c r="H261" s="40" t="n">
        <v>32</v>
      </c>
      <c r="I261" s="40" t="n">
        <v>64</v>
      </c>
      <c r="J261" s="40" t="n">
        <v>96</v>
      </c>
      <c r="K261" s="122" t="n">
        <v>696227</v>
      </c>
      <c r="L261" s="118">
        <f>ROUND(B261*C261*D261/2048/K261*100,1)/100</f>
        <v/>
      </c>
      <c r="M261" s="124">
        <f>IF(OR(E261="",F261="",G261=""),"",((H261+I261)*1024)/(E261*F261*G261/2048))</f>
        <v/>
      </c>
      <c r="N261" s="124">
        <f>IF(OR(E261="",F261="",G261=""),"",(E261*F261*4)/(E261*F261*G261/2048))</f>
        <v/>
      </c>
      <c r="O261" s="123">
        <f>IF(AND(ISNUMBER(M261),M261&gt;0),MIN(1,128/M261),"")</f>
        <v/>
      </c>
      <c r="P261" s="123">
        <f>IF(AND(ISNUMBER(N261),N261&gt;0),MIN(1,512/N261),"")</f>
        <v/>
      </c>
      <c r="Q261" s="123">
        <f>IF(AND(ISNUMBER(O261),ISNUMBER(P261)),MIN(O261,P261),"")</f>
        <v/>
      </c>
      <c r="R261" s="124">
        <f>IF(AND(ISNUMBER(L261),ISNUMBER(Q261)),(L261-Q261)*100,"")</f>
        <v/>
      </c>
      <c r="S261" s="91" t="inlineStr">
        <is>
          <t>PASS</t>
        </is>
      </c>
      <c r="T261" t="inlineStr">
        <is>
          <t>本轮 model-main 9b3a4405 + 8参数(256KB ShareTReg) 2026-09-22</t>
        </is>
      </c>
    </row>
    <row r="262" ht="20" customHeight="1">
      <c r="A262" s="39" t="inlineStr">
        <is>
          <t>FP32</t>
        </is>
      </c>
      <c r="B262" s="40" t="n">
        <v>128</v>
      </c>
      <c r="C262" s="40" t="n">
        <v>256</v>
      </c>
      <c r="D262" s="40" t="n">
        <v>32768</v>
      </c>
      <c r="E262" s="40" t="n">
        <v>128</v>
      </c>
      <c r="F262" s="40" t="n">
        <v>256</v>
      </c>
      <c r="G262" s="40" t="n">
        <v>128</v>
      </c>
      <c r="H262" s="40" t="n">
        <v>64</v>
      </c>
      <c r="I262" s="40" t="n">
        <v>128</v>
      </c>
      <c r="J262" s="40" t="n">
        <v>192</v>
      </c>
      <c r="K262" s="122" t="n">
        <v>1188454</v>
      </c>
      <c r="L262" s="123">
        <f>ROUND(B262*C262*D262/2048/K262*100,1)/100</f>
        <v/>
      </c>
      <c r="M262" s="124">
        <f>IF(OR(E262="",F262="",G262=""),"",((H262+I262)*1024)/(E262*F262*G262/2048))</f>
        <v/>
      </c>
      <c r="N262" s="124">
        <f>IF(OR(E262="",F262="",G262=""),"",(E262*F262*4)/(E262*F262*G262/2048))</f>
        <v/>
      </c>
      <c r="O262" s="123">
        <f>IF(AND(ISNUMBER(M262),M262&gt;0),MIN(1,128/M262),"")</f>
        <v/>
      </c>
      <c r="P262" s="123">
        <f>IF(AND(ISNUMBER(N262),N262&gt;0),MIN(1,512/N262),"")</f>
        <v/>
      </c>
      <c r="Q262" s="123">
        <f>IF(AND(ISNUMBER(O262),ISNUMBER(P262)),MIN(O262,P262),"")</f>
        <v/>
      </c>
      <c r="R262" s="124">
        <f>IF(AND(ISNUMBER(L262),ISNUMBER(Q262)),(L262-Q262)*100,"")</f>
        <v/>
      </c>
      <c r="S262" s="91" t="inlineStr">
        <is>
          <t>PASS</t>
        </is>
      </c>
      <c r="T262" t="inlineStr">
        <is>
          <t>本轮 model-main 9b3a4405 + 8参数(256KB ShareTReg) 2026-09-22</t>
        </is>
      </c>
    </row>
    <row r="263" ht="20" customHeight="1">
      <c r="A263" s="39" t="inlineStr">
        <is>
          <t>FP32</t>
        </is>
      </c>
      <c r="B263" s="40" t="n">
        <v>128</v>
      </c>
      <c r="C263" s="40" t="n">
        <v>256</v>
      </c>
      <c r="D263" s="40" t="n">
        <v>32768</v>
      </c>
      <c r="E263" s="40" t="n">
        <v>128</v>
      </c>
      <c r="F263" s="40" t="n">
        <v>256</v>
      </c>
      <c r="G263" s="40" t="n">
        <v>256</v>
      </c>
      <c r="H263" s="40" t="n">
        <v>128</v>
      </c>
      <c r="I263" s="40" t="n">
        <v>256</v>
      </c>
      <c r="J263" s="40" t="n">
        <v>384</v>
      </c>
      <c r="K263" s="122" t="inlineStr">
        <is>
          <t>—</t>
        </is>
      </c>
      <c r="L263" s="123" t="n"/>
      <c r="M263" s="124">
        <f>IF(OR(E263="",F263="",G263=""),"",((H263+I263)*1024)/(E263*F263*G263/2048))</f>
        <v/>
      </c>
      <c r="N263" s="124">
        <f>IF(OR(E263="",F263="",G263=""),"",(E263*F263*4)/(E263*F263*G263/2048))</f>
        <v/>
      </c>
      <c r="O263" s="123">
        <f>IF(AND(ISNUMBER(M263),M263&gt;0),MIN(1,128/M263),"")</f>
        <v/>
      </c>
      <c r="P263" s="123">
        <f>IF(AND(ISNUMBER(N263),N263&gt;0),MIN(1,512/N263),"")</f>
        <v/>
      </c>
      <c r="Q263" s="123">
        <f>IF(AND(ISNUMBER(O263),ISNUMBER(P263)),MIN(O263,P263),"")</f>
        <v/>
      </c>
      <c r="R263" s="124" t="n"/>
      <c r="S263" s="96" t="inlineStr">
        <is>
          <t>COMPILE_FAIL</t>
        </is>
      </c>
      <c r="T263" t="inlineStr">
        <is>
          <t>容量超限：完整 SharedTile 足迹 &gt; 256 KiB；本轮 model-main 9b3a4405 + 8参数(256KB ShareTReg) 2026-09-22</t>
        </is>
      </c>
    </row>
    <row r="264" ht="23" customHeight="1">
      <c r="A264" s="81" t="inlineStr">
        <is>
          <t>BF16</t>
        </is>
      </c>
      <c r="B264" s="82" t="n"/>
      <c r="C264" s="82" t="n"/>
      <c r="D264" s="82" t="n"/>
      <c r="E264" s="82" t="n"/>
      <c r="F264" s="82" t="n"/>
      <c r="G264" s="82" t="n"/>
      <c r="H264" s="82" t="n"/>
      <c r="I264" s="82" t="n"/>
      <c r="J264" s="82" t="n"/>
      <c r="K264" s="112" t="n"/>
      <c r="L264" s="113" t="n"/>
      <c r="M264" s="114" t="n"/>
      <c r="N264" s="114" t="n"/>
      <c r="O264" s="113" t="n"/>
      <c r="P264" s="113" t="n"/>
      <c r="Q264" s="113" t="n"/>
      <c r="R264" s="114" t="n"/>
      <c r="S264" s="86" t="n"/>
    </row>
    <row r="265" ht="20" customHeight="1">
      <c r="A265" s="45" t="inlineStr">
        <is>
          <t>BF16</t>
        </is>
      </c>
      <c r="B265" s="46" t="n">
        <v>128</v>
      </c>
      <c r="C265" s="46" t="n">
        <v>256</v>
      </c>
      <c r="D265" s="46" t="n">
        <v>32768</v>
      </c>
      <c r="E265" s="46" t="n">
        <v>128</v>
      </c>
      <c r="F265" s="46" t="n">
        <v>64</v>
      </c>
      <c r="G265" s="46" t="n">
        <v>64</v>
      </c>
      <c r="H265" s="46" t="n">
        <v>16</v>
      </c>
      <c r="I265" s="46" t="n">
        <v>8</v>
      </c>
      <c r="J265" s="46" t="n">
        <v>24</v>
      </c>
      <c r="K265" s="125" t="n">
        <v>695024</v>
      </c>
      <c r="L265" s="126">
        <f>ROUND(B265*C265*D265/4096/K265*100,1)/100</f>
        <v/>
      </c>
      <c r="M265" s="127">
        <f>IF(OR(E265="",F265="",G265=""),"",((H265+I265)*1024)/(E265*F265*G265/4096))</f>
        <v/>
      </c>
      <c r="N265" s="127">
        <f>IF(OR(E265="",F265="",G265=""),"",(E265*F265*4)/(E265*F265*G265/4096))</f>
        <v/>
      </c>
      <c r="O265" s="126">
        <f>IF(AND(ISNUMBER(M265),M265&gt;0),MIN(1,128/M265),"")</f>
        <v/>
      </c>
      <c r="P265" s="126">
        <f>IF(AND(ISNUMBER(N265),N265&gt;0),MIN(1,512/N265),"")</f>
        <v/>
      </c>
      <c r="Q265" s="126">
        <f>IF(AND(ISNUMBER(O265),ISNUMBER(P265)),MIN(O265,P265),"")</f>
        <v/>
      </c>
      <c r="R265" s="127">
        <f>IF(AND(ISNUMBER(L265),ISNUMBER(Q265)),(L265-Q265)*100,"")</f>
        <v/>
      </c>
      <c r="S265" s="92" t="inlineStr">
        <is>
          <t>PASS</t>
        </is>
      </c>
      <c r="T265" t="inlineStr">
        <is>
          <t>本轮 model-main 9b3a4405 + 8参数(256KB ShareTReg) 2026-09-22</t>
        </is>
      </c>
    </row>
    <row r="266" ht="20" customHeight="1">
      <c r="A266" s="45" t="inlineStr">
        <is>
          <t>BF16</t>
        </is>
      </c>
      <c r="B266" s="46" t="n">
        <v>128</v>
      </c>
      <c r="C266" s="46" t="n">
        <v>256</v>
      </c>
      <c r="D266" s="46" t="n">
        <v>32768</v>
      </c>
      <c r="E266" s="46" t="n">
        <v>128</v>
      </c>
      <c r="F266" s="46" t="n">
        <v>64</v>
      </c>
      <c r="G266" s="46" t="n">
        <v>128</v>
      </c>
      <c r="H266" s="46" t="n">
        <v>32</v>
      </c>
      <c r="I266" s="46" t="n">
        <v>16</v>
      </c>
      <c r="J266" s="46" t="n">
        <v>48</v>
      </c>
      <c r="K266" s="125" t="n">
        <v>695713</v>
      </c>
      <c r="L266" s="126">
        <f>ROUND(B266*C266*D266/4096/K266*100,1)/100</f>
        <v/>
      </c>
      <c r="M266" s="127">
        <f>IF(OR(E266="",F266="",G266=""),"",((H266+I266)*1024)/(E266*F266*G266/4096))</f>
        <v/>
      </c>
      <c r="N266" s="127">
        <f>IF(OR(E266="",F266="",G266=""),"",(E266*F266*4)/(E266*F266*G266/4096))</f>
        <v/>
      </c>
      <c r="O266" s="126">
        <f>IF(AND(ISNUMBER(M266),M266&gt;0),MIN(1,128/M266),"")</f>
        <v/>
      </c>
      <c r="P266" s="126">
        <f>IF(AND(ISNUMBER(N266),N266&gt;0),MIN(1,512/N266),"")</f>
        <v/>
      </c>
      <c r="Q266" s="126">
        <f>IF(AND(ISNUMBER(O266),ISNUMBER(P266)),MIN(O266,P266),"")</f>
        <v/>
      </c>
      <c r="R266" s="127">
        <f>IF(AND(ISNUMBER(L266),ISNUMBER(Q266)),(L266-Q266)*100,"")</f>
        <v/>
      </c>
      <c r="S266" s="92" t="inlineStr">
        <is>
          <t>PASS</t>
        </is>
      </c>
      <c r="T266" t="inlineStr">
        <is>
          <t>本轮 model-main 9b3a4405 + 8参数(256KB ShareTReg) 2026-09-22</t>
        </is>
      </c>
    </row>
    <row r="267" ht="20" customHeight="1">
      <c r="A267" s="45" t="inlineStr">
        <is>
          <t>BF16</t>
        </is>
      </c>
      <c r="B267" s="46" t="n">
        <v>128</v>
      </c>
      <c r="C267" s="46" t="n">
        <v>256</v>
      </c>
      <c r="D267" s="46" t="n">
        <v>32768</v>
      </c>
      <c r="E267" s="46" t="n">
        <v>128</v>
      </c>
      <c r="F267" s="46" t="n">
        <v>64</v>
      </c>
      <c r="G267" s="46" t="n">
        <v>256</v>
      </c>
      <c r="H267" s="46" t="n">
        <v>64</v>
      </c>
      <c r="I267" s="46" t="n">
        <v>32</v>
      </c>
      <c r="J267" s="46" t="n">
        <v>96</v>
      </c>
      <c r="K267" s="125" t="n">
        <v>695969</v>
      </c>
      <c r="L267" s="126">
        <f>ROUND(B267*C267*D267/4096/K267*100,1)/100</f>
        <v/>
      </c>
      <c r="M267" s="127">
        <f>IF(OR(E267="",F267="",G267=""),"",((H267+I267)*1024)/(E267*F267*G267/4096))</f>
        <v/>
      </c>
      <c r="N267" s="127">
        <f>IF(OR(E267="",F267="",G267=""),"",(E267*F267*4)/(E267*F267*G267/4096))</f>
        <v/>
      </c>
      <c r="O267" s="126">
        <f>IF(AND(ISNUMBER(M267),M267&gt;0),MIN(1,128/M267),"")</f>
        <v/>
      </c>
      <c r="P267" s="126">
        <f>IF(AND(ISNUMBER(N267),N267&gt;0),MIN(1,512/N267),"")</f>
        <v/>
      </c>
      <c r="Q267" s="126">
        <f>IF(AND(ISNUMBER(O267),ISNUMBER(P267)),MIN(O267,P267),"")</f>
        <v/>
      </c>
      <c r="R267" s="127">
        <f>IF(AND(ISNUMBER(L267),ISNUMBER(Q267)),(L267-Q267)*100,"")</f>
        <v/>
      </c>
      <c r="S267" s="92" t="inlineStr">
        <is>
          <t>PASS</t>
        </is>
      </c>
      <c r="T267" t="inlineStr">
        <is>
          <t>本轮 model-main 9b3a4405 + 8参数(256KB ShareTReg) 2026-09-22</t>
        </is>
      </c>
    </row>
    <row r="268" ht="20" customHeight="1">
      <c r="A268" s="45" t="inlineStr">
        <is>
          <t>BF16</t>
        </is>
      </c>
      <c r="B268" s="46" t="n">
        <v>128</v>
      </c>
      <c r="C268" s="46" t="n">
        <v>256</v>
      </c>
      <c r="D268" s="46" t="n">
        <v>32768</v>
      </c>
      <c r="E268" s="46" t="n">
        <v>128</v>
      </c>
      <c r="F268" s="46" t="n">
        <v>128</v>
      </c>
      <c r="G268" s="46" t="n">
        <v>64</v>
      </c>
      <c r="H268" s="46" t="n">
        <v>16</v>
      </c>
      <c r="I268" s="46" t="n">
        <v>16</v>
      </c>
      <c r="J268" s="46" t="n">
        <v>32</v>
      </c>
      <c r="K268" s="125" t="n">
        <v>464491</v>
      </c>
      <c r="L268" s="126">
        <f>ROUND(B268*C268*D268/4096/K268*100,1)/100</f>
        <v/>
      </c>
      <c r="M268" s="127">
        <f>IF(OR(E268="",F268="",G268=""),"",((H268+I268)*1024)/(E268*F268*G268/4096))</f>
        <v/>
      </c>
      <c r="N268" s="127">
        <f>IF(OR(E268="",F268="",G268=""),"",(E268*F268*4)/(E268*F268*G268/4096))</f>
        <v/>
      </c>
      <c r="O268" s="126">
        <f>IF(AND(ISNUMBER(M268),M268&gt;0),MIN(1,128/M268),"")</f>
        <v/>
      </c>
      <c r="P268" s="126">
        <f>IF(AND(ISNUMBER(N268),N268&gt;0),MIN(1,512/N268),"")</f>
        <v/>
      </c>
      <c r="Q268" s="126">
        <f>IF(AND(ISNUMBER(O268),ISNUMBER(P268)),MIN(O268,P268),"")</f>
        <v/>
      </c>
      <c r="R268" s="127">
        <f>IF(AND(ISNUMBER(L268),ISNUMBER(Q268)),(L268-Q268)*100,"")</f>
        <v/>
      </c>
      <c r="S268" s="92" t="inlineStr">
        <is>
          <t>PASS</t>
        </is>
      </c>
      <c r="T268" t="inlineStr">
        <is>
          <t>本轮 model-main 9b3a4405 + 8参数(256KB ShareTReg) 2026-09-22</t>
        </is>
      </c>
    </row>
    <row r="269" ht="20" customHeight="1">
      <c r="A269" s="45" t="inlineStr">
        <is>
          <t>BF16</t>
        </is>
      </c>
      <c r="B269" s="46" t="n">
        <v>128</v>
      </c>
      <c r="C269" s="46" t="n">
        <v>256</v>
      </c>
      <c r="D269" s="46" t="n">
        <v>32768</v>
      </c>
      <c r="E269" s="46" t="n">
        <v>128</v>
      </c>
      <c r="F269" s="46" t="n">
        <v>128</v>
      </c>
      <c r="G269" s="46" t="n">
        <v>128</v>
      </c>
      <c r="H269" s="46" t="n">
        <v>32</v>
      </c>
      <c r="I269" s="46" t="n">
        <v>32</v>
      </c>
      <c r="J269" s="46" t="n">
        <v>64</v>
      </c>
      <c r="K269" s="125" t="n">
        <v>464596</v>
      </c>
      <c r="L269" s="126" t="n"/>
      <c r="M269" s="127">
        <f>IF(OR(E269="",F269="",G269=""),"",((H269+I269)*1024)/(E269*F269*G269/4096))</f>
        <v/>
      </c>
      <c r="N269" s="127">
        <f>IF(OR(E269="",F269="",G269=""),"",(E269*F269*4)/(E269*F269*G269/4096))</f>
        <v/>
      </c>
      <c r="O269" s="126">
        <f>IF(AND(ISNUMBER(M269),M269&gt;0),MIN(1,128/M269),"")</f>
        <v/>
      </c>
      <c r="P269" s="126">
        <f>IF(AND(ISNUMBER(N269),N269&gt;0),MIN(1,512/N269),"")</f>
        <v/>
      </c>
      <c r="Q269" s="126">
        <f>IF(AND(ISNUMBER(O269),ISNUMBER(P269)),MIN(O269,P269),"")</f>
        <v/>
      </c>
      <c r="R269" s="127" t="n"/>
      <c r="S269" s="93" t="inlineStr">
        <is>
          <t>PASS</t>
        </is>
      </c>
      <c r="T269" t="inlineStr">
        <is>
          <t>本轮 model-main 9b3a4405 + 8参数(256KB ShareTReg) 2026-09-22</t>
        </is>
      </c>
    </row>
    <row r="270" ht="20" customHeight="1">
      <c r="A270" s="45" t="inlineStr">
        <is>
          <t>BF16</t>
        </is>
      </c>
      <c r="B270" s="46" t="n">
        <v>128</v>
      </c>
      <c r="C270" s="46" t="n">
        <v>256</v>
      </c>
      <c r="D270" s="46" t="n">
        <v>32768</v>
      </c>
      <c r="E270" s="46" t="n">
        <v>128</v>
      </c>
      <c r="F270" s="46" t="n">
        <v>128</v>
      </c>
      <c r="G270" s="46" t="n">
        <v>256</v>
      </c>
      <c r="H270" s="46" t="n">
        <v>64</v>
      </c>
      <c r="I270" s="46" t="n">
        <v>64</v>
      </c>
      <c r="J270" s="46" t="n">
        <v>128</v>
      </c>
      <c r="K270" s="125" t="n">
        <v>470959</v>
      </c>
      <c r="L270" s="126">
        <f>ROUND(B270*C270*D270/4096/K270*100,1)/100</f>
        <v/>
      </c>
      <c r="M270" s="127">
        <f>IF(OR(E270="",F270="",G270=""),"",((H270+I270)*1024)/(E270*F270*G270/4096))</f>
        <v/>
      </c>
      <c r="N270" s="127">
        <f>IF(OR(E270="",F270="",G270=""),"",(E270*F270*4)/(E270*F270*G270/4096))</f>
        <v/>
      </c>
      <c r="O270" s="126">
        <f>IF(AND(ISNUMBER(M270),M270&gt;0),MIN(1,128/M270),"")</f>
        <v/>
      </c>
      <c r="P270" s="126">
        <f>IF(AND(ISNUMBER(N270),N270&gt;0),MIN(1,512/N270),"")</f>
        <v/>
      </c>
      <c r="Q270" s="126">
        <f>IF(AND(ISNUMBER(O270),ISNUMBER(P270)),MIN(O270,P270),"")</f>
        <v/>
      </c>
      <c r="R270" s="127">
        <f>IF(AND(ISNUMBER(L270),ISNUMBER(Q270)),(L270-Q270)*100,"")</f>
        <v/>
      </c>
      <c r="S270" s="92" t="inlineStr">
        <is>
          <t>PASS</t>
        </is>
      </c>
      <c r="T270" t="inlineStr">
        <is>
          <t>本轮 model-main 9b3a4405 + 8参数(256KB ShareTReg) 2026-09-22</t>
        </is>
      </c>
    </row>
    <row r="271" ht="20" customHeight="1">
      <c r="A271" s="45" t="inlineStr">
        <is>
          <t>BF16</t>
        </is>
      </c>
      <c r="B271" s="46" t="n">
        <v>128</v>
      </c>
      <c r="C271" s="46" t="n">
        <v>256</v>
      </c>
      <c r="D271" s="46" t="n">
        <v>32768</v>
      </c>
      <c r="E271" s="46" t="n">
        <v>128</v>
      </c>
      <c r="F271" s="46" t="n">
        <v>256</v>
      </c>
      <c r="G271" s="46" t="n">
        <v>64</v>
      </c>
      <c r="H271" s="46" t="n">
        <v>16</v>
      </c>
      <c r="I271" s="46" t="n">
        <v>32</v>
      </c>
      <c r="J271" s="46" t="n">
        <v>48</v>
      </c>
      <c r="K271" s="125" t="n">
        <v>347680</v>
      </c>
      <c r="L271" s="126">
        <f>ROUND(B271*C271*D271/4096/K271*100,1)/100</f>
        <v/>
      </c>
      <c r="M271" s="127">
        <f>IF(OR(E271="",F271="",G271=""),"",((H271+I271)*1024)/(E271*F271*G271/4096))</f>
        <v/>
      </c>
      <c r="N271" s="127">
        <f>IF(OR(E271="",F271="",G271=""),"",(E271*F271*4)/(E271*F271*G271/4096))</f>
        <v/>
      </c>
      <c r="O271" s="126">
        <f>IF(AND(ISNUMBER(M271),M271&gt;0),MIN(1,128/M271),"")</f>
        <v/>
      </c>
      <c r="P271" s="126">
        <f>IF(AND(ISNUMBER(N271),N271&gt;0),MIN(1,512/N271),"")</f>
        <v/>
      </c>
      <c r="Q271" s="126">
        <f>IF(AND(ISNUMBER(O271),ISNUMBER(P271)),MIN(O271,P271),"")</f>
        <v/>
      </c>
      <c r="R271" s="127">
        <f>IF(AND(ISNUMBER(L271),ISNUMBER(Q271)),(L271-Q271)*100,"")</f>
        <v/>
      </c>
      <c r="S271" s="92" t="inlineStr">
        <is>
          <t>PASS</t>
        </is>
      </c>
      <c r="T271" t="inlineStr">
        <is>
          <t>本轮 model-main 9b3a4405 + 8参数(256KB ShareTReg) 2026-09-22</t>
        </is>
      </c>
    </row>
    <row r="272" ht="20" customHeight="1">
      <c r="A272" s="45" t="inlineStr">
        <is>
          <t>BF16</t>
        </is>
      </c>
      <c r="B272" s="46" t="n">
        <v>128</v>
      </c>
      <c r="C272" s="46" t="n">
        <v>256</v>
      </c>
      <c r="D272" s="46" t="n">
        <v>32768</v>
      </c>
      <c r="E272" s="104" t="n">
        <v>128</v>
      </c>
      <c r="F272" s="104" t="n">
        <v>256</v>
      </c>
      <c r="G272" s="104" t="n">
        <v>128</v>
      </c>
      <c r="H272" s="46" t="n">
        <v>32</v>
      </c>
      <c r="I272" s="46" t="n">
        <v>64</v>
      </c>
      <c r="J272" s="46" t="n">
        <v>96</v>
      </c>
      <c r="K272" s="125" t="n">
        <v>348752</v>
      </c>
      <c r="L272" s="118">
        <f>ROUND(B272*C272*D272/4096/K272*100,1)/100</f>
        <v/>
      </c>
      <c r="M272" s="127">
        <f>IF(OR(E272="",F272="",G272=""),"",((H272+I272)*1024)/(E272*F272*G272/4096))</f>
        <v/>
      </c>
      <c r="N272" s="127">
        <f>IF(OR(E272="",F272="",G272=""),"",(E272*F272*4)/(E272*F272*G272/4096))</f>
        <v/>
      </c>
      <c r="O272" s="126">
        <f>IF(AND(ISNUMBER(M272),M272&gt;0),MIN(1,128/M272),"")</f>
        <v/>
      </c>
      <c r="P272" s="126">
        <f>IF(AND(ISNUMBER(N272),N272&gt;0),MIN(1,512/N272),"")</f>
        <v/>
      </c>
      <c r="Q272" s="126">
        <f>IF(AND(ISNUMBER(O272),ISNUMBER(P272)),MIN(O272,P272),"")</f>
        <v/>
      </c>
      <c r="R272" s="127">
        <f>IF(AND(ISNUMBER(L272),ISNUMBER(Q272)),(L272-Q272)*100,"")</f>
        <v/>
      </c>
      <c r="S272" s="92" t="inlineStr">
        <is>
          <t>PASS</t>
        </is>
      </c>
      <c r="T272" t="inlineStr">
        <is>
          <t>本轮 model-main 9b3a4405 + 8参数(256KB ShareTReg) 2026-09-22</t>
        </is>
      </c>
    </row>
    <row r="273" ht="20" customHeight="1">
      <c r="A273" s="45" t="inlineStr">
        <is>
          <t>BF16</t>
        </is>
      </c>
      <c r="B273" s="46" t="n">
        <v>128</v>
      </c>
      <c r="C273" s="46" t="n">
        <v>256</v>
      </c>
      <c r="D273" s="46" t="n">
        <v>32768</v>
      </c>
      <c r="E273" s="46" t="n">
        <v>128</v>
      </c>
      <c r="F273" s="46" t="n">
        <v>256</v>
      </c>
      <c r="G273" s="46" t="n">
        <v>256</v>
      </c>
      <c r="H273" s="46" t="n">
        <v>64</v>
      </c>
      <c r="I273" s="46" t="n">
        <v>128</v>
      </c>
      <c r="J273" s="46" t="n">
        <v>192</v>
      </c>
      <c r="K273" s="125" t="n">
        <v>594724</v>
      </c>
      <c r="L273" s="126">
        <f>ROUND(B273*C273*D273/4096/K273*100,1)/100</f>
        <v/>
      </c>
      <c r="M273" s="127">
        <f>IF(OR(E273="",F273="",G273=""),"",((H273+I273)*1024)/(E273*F273*G273/4096))</f>
        <v/>
      </c>
      <c r="N273" s="127">
        <f>IF(OR(E273="",F273="",G273=""),"",(E273*F273*4)/(E273*F273*G273/4096))</f>
        <v/>
      </c>
      <c r="O273" s="126">
        <f>IF(AND(ISNUMBER(M273),M273&gt;0),MIN(1,128/M273),"")</f>
        <v/>
      </c>
      <c r="P273" s="126">
        <f>IF(AND(ISNUMBER(N273),N273&gt;0),MIN(1,512/N273),"")</f>
        <v/>
      </c>
      <c r="Q273" s="126">
        <f>IF(AND(ISNUMBER(O273),ISNUMBER(P273)),MIN(O273,P273),"")</f>
        <v/>
      </c>
      <c r="R273" s="127">
        <f>IF(AND(ISNUMBER(L273),ISNUMBER(Q273)),(L273-Q273)*100,"")</f>
        <v/>
      </c>
      <c r="S273" s="92" t="inlineStr">
        <is>
          <t>PASS</t>
        </is>
      </c>
      <c r="T273" t="inlineStr">
        <is>
          <t>本轮 model-main 9b3a4405 + 8参数(256KB ShareTReg) 2026-09-22</t>
        </is>
      </c>
    </row>
    <row r="274" ht="23" customHeight="1">
      <c r="A274" s="81" t="inlineStr">
        <is>
          <t>FP16</t>
        </is>
      </c>
      <c r="B274" s="82" t="n"/>
      <c r="C274" s="82" t="n"/>
      <c r="D274" s="82" t="n"/>
      <c r="E274" s="82" t="n"/>
      <c r="F274" s="82" t="n"/>
      <c r="G274" s="82" t="n"/>
      <c r="H274" s="82" t="n"/>
      <c r="I274" s="82" t="n"/>
      <c r="J274" s="82" t="n"/>
      <c r="K274" s="112" t="n"/>
      <c r="L274" s="113" t="n"/>
      <c r="M274" s="114" t="n"/>
      <c r="N274" s="114" t="n"/>
      <c r="O274" s="113" t="n"/>
      <c r="P274" s="113" t="n"/>
      <c r="Q274" s="113" t="n"/>
      <c r="R274" s="114" t="n"/>
      <c r="S274" s="86" t="n"/>
    </row>
    <row r="275" ht="20" customHeight="1">
      <c r="A275" s="27" t="inlineStr">
        <is>
          <t>FP16</t>
        </is>
      </c>
      <c r="B275" s="28" t="n">
        <v>128</v>
      </c>
      <c r="C275" s="28" t="n">
        <v>256</v>
      </c>
      <c r="D275" s="28" t="n">
        <v>32768</v>
      </c>
      <c r="E275" s="28" t="n">
        <v>128</v>
      </c>
      <c r="F275" s="28" t="n">
        <v>64</v>
      </c>
      <c r="G275" s="28" t="n">
        <v>64</v>
      </c>
      <c r="H275" s="28" t="n">
        <v>16</v>
      </c>
      <c r="I275" s="28" t="n">
        <v>8</v>
      </c>
      <c r="J275" s="28" t="n">
        <v>24</v>
      </c>
      <c r="K275" s="115" t="n">
        <v>695024</v>
      </c>
      <c r="L275" s="116">
        <f>ROUND(B275*C275*D275/4096/K275*100,1)/100</f>
        <v/>
      </c>
      <c r="M275" s="117">
        <f>IF(OR(E275="",F275="",G275=""),"",((H275+I275)*1024)/(E275*F275*G275/4096))</f>
        <v/>
      </c>
      <c r="N275" s="117">
        <f>IF(OR(E275="",F275="",G275=""),"",(E275*F275*4)/(E275*F275*G275/4096))</f>
        <v/>
      </c>
      <c r="O275" s="116">
        <f>IF(AND(ISNUMBER(M275),M275&gt;0),MIN(1,128/M275),"")</f>
        <v/>
      </c>
      <c r="P275" s="116">
        <f>IF(AND(ISNUMBER(N275),N275&gt;0),MIN(1,512/N275),"")</f>
        <v/>
      </c>
      <c r="Q275" s="116">
        <f>IF(AND(ISNUMBER(O275),ISNUMBER(P275)),MIN(O275,P275),"")</f>
        <v/>
      </c>
      <c r="R275" s="117">
        <f>IF(AND(ISNUMBER(L275),ISNUMBER(Q275)),(L275-Q275)*100,"")</f>
        <v/>
      </c>
      <c r="S275" s="87" t="inlineStr">
        <is>
          <t>PASS</t>
        </is>
      </c>
      <c r="T275" t="inlineStr">
        <is>
          <t>本轮 model-main 9b3a4405 + 8参数(256KB ShareTReg) 2026-09-22</t>
        </is>
      </c>
    </row>
    <row r="276" ht="20" customHeight="1">
      <c r="A276" s="27" t="inlineStr">
        <is>
          <t>FP16</t>
        </is>
      </c>
      <c r="B276" s="28" t="n">
        <v>128</v>
      </c>
      <c r="C276" s="28" t="n">
        <v>256</v>
      </c>
      <c r="D276" s="28" t="n">
        <v>32768</v>
      </c>
      <c r="E276" s="28" t="n">
        <v>128</v>
      </c>
      <c r="F276" s="28" t="n">
        <v>64</v>
      </c>
      <c r="G276" s="28" t="n">
        <v>128</v>
      </c>
      <c r="H276" s="28" t="n">
        <v>32</v>
      </c>
      <c r="I276" s="28" t="n">
        <v>16</v>
      </c>
      <c r="J276" s="28" t="n">
        <v>48</v>
      </c>
      <c r="K276" s="115" t="n">
        <v>695713</v>
      </c>
      <c r="L276" s="116">
        <f>ROUND(B276*C276*D276/4096/K276*100,1)/100</f>
        <v/>
      </c>
      <c r="M276" s="117">
        <f>IF(OR(E276="",F276="",G276=""),"",((H276+I276)*1024)/(E276*F276*G276/4096))</f>
        <v/>
      </c>
      <c r="N276" s="117">
        <f>IF(OR(E276="",F276="",G276=""),"",(E276*F276*4)/(E276*F276*G276/4096))</f>
        <v/>
      </c>
      <c r="O276" s="116">
        <f>IF(AND(ISNUMBER(M276),M276&gt;0),MIN(1,128/M276),"")</f>
        <v/>
      </c>
      <c r="P276" s="116">
        <f>IF(AND(ISNUMBER(N276),N276&gt;0),MIN(1,512/N276),"")</f>
        <v/>
      </c>
      <c r="Q276" s="116">
        <f>IF(AND(ISNUMBER(O276),ISNUMBER(P276)),MIN(O276,P276),"")</f>
        <v/>
      </c>
      <c r="R276" s="117">
        <f>IF(AND(ISNUMBER(L276),ISNUMBER(Q276)),(L276-Q276)*100,"")</f>
        <v/>
      </c>
      <c r="S276" s="87" t="inlineStr">
        <is>
          <t>PASS</t>
        </is>
      </c>
      <c r="T276" t="inlineStr">
        <is>
          <t>本轮 model-main 9b3a4405 + 8参数(256KB ShareTReg) 2026-09-22</t>
        </is>
      </c>
    </row>
    <row r="277" ht="20" customHeight="1">
      <c r="A277" s="27" t="inlineStr">
        <is>
          <t>FP16</t>
        </is>
      </c>
      <c r="B277" s="28" t="n">
        <v>128</v>
      </c>
      <c r="C277" s="28" t="n">
        <v>256</v>
      </c>
      <c r="D277" s="28" t="n">
        <v>32768</v>
      </c>
      <c r="E277" s="28" t="n">
        <v>128</v>
      </c>
      <c r="F277" s="28" t="n">
        <v>64</v>
      </c>
      <c r="G277" s="28" t="n">
        <v>256</v>
      </c>
      <c r="H277" s="28" t="n">
        <v>64</v>
      </c>
      <c r="I277" s="28" t="n">
        <v>32</v>
      </c>
      <c r="J277" s="28" t="n">
        <v>96</v>
      </c>
      <c r="K277" s="115" t="n">
        <v>695969</v>
      </c>
      <c r="L277" s="116">
        <f>ROUND(B277*C277*D277/4096/K277*100,1)/100</f>
        <v/>
      </c>
      <c r="M277" s="117">
        <f>IF(OR(E277="",F277="",G277=""),"",((H277+I277)*1024)/(E277*F277*G277/4096))</f>
        <v/>
      </c>
      <c r="N277" s="117">
        <f>IF(OR(E277="",F277="",G277=""),"",(E277*F277*4)/(E277*F277*G277/4096))</f>
        <v/>
      </c>
      <c r="O277" s="116">
        <f>IF(AND(ISNUMBER(M277),M277&gt;0),MIN(1,128/M277),"")</f>
        <v/>
      </c>
      <c r="P277" s="116">
        <f>IF(AND(ISNUMBER(N277),N277&gt;0),MIN(1,512/N277),"")</f>
        <v/>
      </c>
      <c r="Q277" s="116">
        <f>IF(AND(ISNUMBER(O277),ISNUMBER(P277)),MIN(O277,P277),"")</f>
        <v/>
      </c>
      <c r="R277" s="117">
        <f>IF(AND(ISNUMBER(L277),ISNUMBER(Q277)),(L277-Q277)*100,"")</f>
        <v/>
      </c>
      <c r="S277" s="87" t="inlineStr">
        <is>
          <t>PASS</t>
        </is>
      </c>
      <c r="T277" t="inlineStr">
        <is>
          <t>本轮 model-main 9b3a4405 + 8参数(256KB ShareTReg) 2026-09-22</t>
        </is>
      </c>
    </row>
    <row r="278" ht="20" customHeight="1">
      <c r="A278" s="27" t="inlineStr">
        <is>
          <t>FP16</t>
        </is>
      </c>
      <c r="B278" s="28" t="n">
        <v>128</v>
      </c>
      <c r="C278" s="28" t="n">
        <v>256</v>
      </c>
      <c r="D278" s="28" t="n">
        <v>32768</v>
      </c>
      <c r="E278" s="28" t="n">
        <v>128</v>
      </c>
      <c r="F278" s="28" t="n">
        <v>128</v>
      </c>
      <c r="G278" s="28" t="n">
        <v>64</v>
      </c>
      <c r="H278" s="28" t="n">
        <v>16</v>
      </c>
      <c r="I278" s="28" t="n">
        <v>16</v>
      </c>
      <c r="J278" s="28" t="n">
        <v>32</v>
      </c>
      <c r="K278" s="115" t="n">
        <v>464491</v>
      </c>
      <c r="L278" s="116">
        <f>ROUND(B278*C278*D278/4096/K278*100,1)/100</f>
        <v/>
      </c>
      <c r="M278" s="117">
        <f>IF(OR(E278="",F278="",G278=""),"",((H278+I278)*1024)/(E278*F278*G278/4096))</f>
        <v/>
      </c>
      <c r="N278" s="117">
        <f>IF(OR(E278="",F278="",G278=""),"",(E278*F278*4)/(E278*F278*G278/4096))</f>
        <v/>
      </c>
      <c r="O278" s="116">
        <f>IF(AND(ISNUMBER(M278),M278&gt;0),MIN(1,128/M278),"")</f>
        <v/>
      </c>
      <c r="P278" s="116">
        <f>IF(AND(ISNUMBER(N278),N278&gt;0),MIN(1,512/N278),"")</f>
        <v/>
      </c>
      <c r="Q278" s="116">
        <f>IF(AND(ISNUMBER(O278),ISNUMBER(P278)),MIN(O278,P278),"")</f>
        <v/>
      </c>
      <c r="R278" s="117">
        <f>IF(AND(ISNUMBER(L278),ISNUMBER(Q278)),(L278-Q278)*100,"")</f>
        <v/>
      </c>
      <c r="S278" s="87" t="inlineStr">
        <is>
          <t>PASS</t>
        </is>
      </c>
      <c r="T278" t="inlineStr">
        <is>
          <t>本轮 model-main 9b3a4405 + 8参数(256KB ShareTReg) 2026-09-22</t>
        </is>
      </c>
    </row>
    <row r="279" ht="20" customHeight="1">
      <c r="A279" s="27" t="inlineStr">
        <is>
          <t>FP16</t>
        </is>
      </c>
      <c r="B279" s="28" t="n">
        <v>128</v>
      </c>
      <c r="C279" s="28" t="n">
        <v>256</v>
      </c>
      <c r="D279" s="28" t="n">
        <v>32768</v>
      </c>
      <c r="E279" s="28" t="n">
        <v>128</v>
      </c>
      <c r="F279" s="28" t="n">
        <v>128</v>
      </c>
      <c r="G279" s="28" t="n">
        <v>128</v>
      </c>
      <c r="H279" s="28" t="n">
        <v>32</v>
      </c>
      <c r="I279" s="28" t="n">
        <v>32</v>
      </c>
      <c r="J279" s="28" t="n">
        <v>64</v>
      </c>
      <c r="K279" s="115" t="n">
        <v>464596</v>
      </c>
      <c r="L279" s="116" t="n"/>
      <c r="M279" s="117">
        <f>IF(OR(E279="",F279="",G279=""),"",((H279+I279)*1024)/(E279*F279*G279/4096))</f>
        <v/>
      </c>
      <c r="N279" s="117">
        <f>IF(OR(E279="",F279="",G279=""),"",(E279*F279*4)/(E279*F279*G279/4096))</f>
        <v/>
      </c>
      <c r="O279" s="116">
        <f>IF(AND(ISNUMBER(M279),M279&gt;0),MIN(1,128/M279),"")</f>
        <v/>
      </c>
      <c r="P279" s="116">
        <f>IF(AND(ISNUMBER(N279),N279&gt;0),MIN(1,512/N279),"")</f>
        <v/>
      </c>
      <c r="Q279" s="116">
        <f>IF(AND(ISNUMBER(O279),ISNUMBER(P279)),MIN(O279,P279),"")</f>
        <v/>
      </c>
      <c r="R279" s="117" t="n"/>
      <c r="S279" s="94" t="inlineStr">
        <is>
          <t>PASS</t>
        </is>
      </c>
      <c r="T279" t="inlineStr">
        <is>
          <t>本轮 model-main 9b3a4405 + 8参数(256KB ShareTReg) 2026-09-22</t>
        </is>
      </c>
    </row>
    <row r="280" ht="20" customHeight="1">
      <c r="A280" s="27" t="inlineStr">
        <is>
          <t>FP16</t>
        </is>
      </c>
      <c r="B280" s="28" t="n">
        <v>128</v>
      </c>
      <c r="C280" s="28" t="n">
        <v>256</v>
      </c>
      <c r="D280" s="28" t="n">
        <v>32768</v>
      </c>
      <c r="E280" s="28" t="n">
        <v>128</v>
      </c>
      <c r="F280" s="28" t="n">
        <v>128</v>
      </c>
      <c r="G280" s="28" t="n">
        <v>256</v>
      </c>
      <c r="H280" s="28" t="n">
        <v>64</v>
      </c>
      <c r="I280" s="28" t="n">
        <v>64</v>
      </c>
      <c r="J280" s="28" t="n">
        <v>128</v>
      </c>
      <c r="K280" s="115" t="n">
        <v>470959</v>
      </c>
      <c r="L280" s="116">
        <f>ROUND(B280*C280*D280/4096/K280*100,1)/100</f>
        <v/>
      </c>
      <c r="M280" s="117">
        <f>IF(OR(E280="",F280="",G280=""),"",((H280+I280)*1024)/(E280*F280*G280/4096))</f>
        <v/>
      </c>
      <c r="N280" s="117">
        <f>IF(OR(E280="",F280="",G280=""),"",(E280*F280*4)/(E280*F280*G280/4096))</f>
        <v/>
      </c>
      <c r="O280" s="116">
        <f>IF(AND(ISNUMBER(M280),M280&gt;0),MIN(1,128/M280),"")</f>
        <v/>
      </c>
      <c r="P280" s="116">
        <f>IF(AND(ISNUMBER(N280),N280&gt;0),MIN(1,512/N280),"")</f>
        <v/>
      </c>
      <c r="Q280" s="116">
        <f>IF(AND(ISNUMBER(O280),ISNUMBER(P280)),MIN(O280,P280),"")</f>
        <v/>
      </c>
      <c r="R280" s="117">
        <f>IF(AND(ISNUMBER(L280),ISNUMBER(Q280)),(L280-Q280)*100,"")</f>
        <v/>
      </c>
      <c r="S280" s="87" t="inlineStr">
        <is>
          <t>PASS</t>
        </is>
      </c>
      <c r="T280" t="inlineStr">
        <is>
          <t>本轮 model-main 9b3a4405 + 8参数(256KB ShareTReg) 2026-09-22</t>
        </is>
      </c>
    </row>
    <row r="281" ht="20" customHeight="1">
      <c r="A281" s="27" t="inlineStr">
        <is>
          <t>FP16</t>
        </is>
      </c>
      <c r="B281" s="28" t="n">
        <v>128</v>
      </c>
      <c r="C281" s="28" t="n">
        <v>256</v>
      </c>
      <c r="D281" s="28" t="n">
        <v>32768</v>
      </c>
      <c r="E281" s="28" t="n">
        <v>128</v>
      </c>
      <c r="F281" s="28" t="n">
        <v>256</v>
      </c>
      <c r="G281" s="28" t="n">
        <v>64</v>
      </c>
      <c r="H281" s="28" t="n">
        <v>16</v>
      </c>
      <c r="I281" s="28" t="n">
        <v>32</v>
      </c>
      <c r="J281" s="28" t="n">
        <v>48</v>
      </c>
      <c r="K281" s="115" t="n">
        <v>347680</v>
      </c>
      <c r="L281" s="116">
        <f>ROUND(B281*C281*D281/4096/K281*100,1)/100</f>
        <v/>
      </c>
      <c r="M281" s="117">
        <f>IF(OR(E281="",F281="",G281=""),"",((H281+I281)*1024)/(E281*F281*G281/4096))</f>
        <v/>
      </c>
      <c r="N281" s="117">
        <f>IF(OR(E281="",F281="",G281=""),"",(E281*F281*4)/(E281*F281*G281/4096))</f>
        <v/>
      </c>
      <c r="O281" s="116">
        <f>IF(AND(ISNUMBER(M281),M281&gt;0),MIN(1,128/M281),"")</f>
        <v/>
      </c>
      <c r="P281" s="116">
        <f>IF(AND(ISNUMBER(N281),N281&gt;0),MIN(1,512/N281),"")</f>
        <v/>
      </c>
      <c r="Q281" s="116">
        <f>IF(AND(ISNUMBER(O281),ISNUMBER(P281)),MIN(O281,P281),"")</f>
        <v/>
      </c>
      <c r="R281" s="117">
        <f>IF(AND(ISNUMBER(L281),ISNUMBER(Q281)),(L281-Q281)*100,"")</f>
        <v/>
      </c>
      <c r="S281" s="87" t="inlineStr">
        <is>
          <t>PASS</t>
        </is>
      </c>
      <c r="T281" t="inlineStr">
        <is>
          <t>本轮 model-main 9b3a4405 + 8参数(256KB ShareTReg) 2026-09-22</t>
        </is>
      </c>
    </row>
    <row r="282" ht="20" customHeight="1">
      <c r="A282" s="27" t="inlineStr">
        <is>
          <t>FP16</t>
        </is>
      </c>
      <c r="B282" s="28" t="n">
        <v>128</v>
      </c>
      <c r="C282" s="28" t="n">
        <v>256</v>
      </c>
      <c r="D282" s="28" t="n">
        <v>32768</v>
      </c>
      <c r="E282" s="99" t="n">
        <v>128</v>
      </c>
      <c r="F282" s="99" t="n">
        <v>256</v>
      </c>
      <c r="G282" s="99" t="n">
        <v>128</v>
      </c>
      <c r="H282" s="28" t="n">
        <v>32</v>
      </c>
      <c r="I282" s="28" t="n">
        <v>64</v>
      </c>
      <c r="J282" s="28" t="n">
        <v>96</v>
      </c>
      <c r="K282" s="115" t="n">
        <v>348752</v>
      </c>
      <c r="L282" s="118">
        <f>ROUND(B282*C282*D282/4096/K282*100,1)/100</f>
        <v/>
      </c>
      <c r="M282" s="117">
        <f>IF(OR(E282="",F282="",G282=""),"",((H282+I282)*1024)/(E282*F282*G282/4096))</f>
        <v/>
      </c>
      <c r="N282" s="117">
        <f>IF(OR(E282="",F282="",G282=""),"",(E282*F282*4)/(E282*F282*G282/4096))</f>
        <v/>
      </c>
      <c r="O282" s="116">
        <f>IF(AND(ISNUMBER(M282),M282&gt;0),MIN(1,128/M282),"")</f>
        <v/>
      </c>
      <c r="P282" s="116">
        <f>IF(AND(ISNUMBER(N282),N282&gt;0),MIN(1,512/N282),"")</f>
        <v/>
      </c>
      <c r="Q282" s="116">
        <f>IF(AND(ISNUMBER(O282),ISNUMBER(P282)),MIN(O282,P282),"")</f>
        <v/>
      </c>
      <c r="R282" s="117">
        <f>IF(AND(ISNUMBER(L282),ISNUMBER(Q282)),(L282-Q282)*100,"")</f>
        <v/>
      </c>
      <c r="S282" s="87" t="inlineStr">
        <is>
          <t>PASS</t>
        </is>
      </c>
      <c r="T282" t="inlineStr">
        <is>
          <t>本轮 model-main 9b3a4405 + 8参数(256KB ShareTReg) 2026-09-22</t>
        </is>
      </c>
    </row>
    <row r="283" ht="20" customHeight="1">
      <c r="A283" s="27" t="inlineStr">
        <is>
          <t>FP16</t>
        </is>
      </c>
      <c r="B283" s="28" t="n">
        <v>128</v>
      </c>
      <c r="C283" s="28" t="n">
        <v>256</v>
      </c>
      <c r="D283" s="28" t="n">
        <v>32768</v>
      </c>
      <c r="E283" s="28" t="n">
        <v>128</v>
      </c>
      <c r="F283" s="28" t="n">
        <v>256</v>
      </c>
      <c r="G283" s="28" t="n">
        <v>256</v>
      </c>
      <c r="H283" s="28" t="n">
        <v>64</v>
      </c>
      <c r="I283" s="28" t="n">
        <v>128</v>
      </c>
      <c r="J283" s="28" t="n">
        <v>192</v>
      </c>
      <c r="K283" s="115" t="n">
        <v>594724</v>
      </c>
      <c r="L283" s="116">
        <f>ROUND(B283*C283*D283/4096/K283*100,1)/100</f>
        <v/>
      </c>
      <c r="M283" s="117">
        <f>IF(OR(E283="",F283="",G283=""),"",((H283+I283)*1024)/(E283*F283*G283/4096))</f>
        <v/>
      </c>
      <c r="N283" s="117">
        <f>IF(OR(E283="",F283="",G283=""),"",(E283*F283*4)/(E283*F283*G283/4096))</f>
        <v/>
      </c>
      <c r="O283" s="116">
        <f>IF(AND(ISNUMBER(M283),M283&gt;0),MIN(1,128/M283),"")</f>
        <v/>
      </c>
      <c r="P283" s="116">
        <f>IF(AND(ISNUMBER(N283),N283&gt;0),MIN(1,512/N283),"")</f>
        <v/>
      </c>
      <c r="Q283" s="116">
        <f>IF(AND(ISNUMBER(O283),ISNUMBER(P283)),MIN(O283,P283),"")</f>
        <v/>
      </c>
      <c r="R283" s="117">
        <f>IF(AND(ISNUMBER(L283),ISNUMBER(Q283)),(L283-Q283)*100,"")</f>
        <v/>
      </c>
      <c r="S283" s="87" t="inlineStr">
        <is>
          <t>PASS</t>
        </is>
      </c>
      <c r="T283" t="inlineStr">
        <is>
          <t>本轮 model-main 9b3a4405 + 8参数(256KB ShareTReg) 2026-09-22</t>
        </is>
      </c>
    </row>
    <row r="284" ht="23" customHeight="1">
      <c r="A284" s="81" t="inlineStr">
        <is>
          <t>FP8</t>
        </is>
      </c>
      <c r="B284" s="82" t="n"/>
      <c r="C284" s="82" t="n"/>
      <c r="D284" s="82" t="n"/>
      <c r="E284" s="82" t="n"/>
      <c r="F284" s="82" t="n"/>
      <c r="G284" s="82" t="n"/>
      <c r="H284" s="82" t="n"/>
      <c r="I284" s="82" t="n"/>
      <c r="J284" s="82" t="n"/>
      <c r="K284" s="112" t="n"/>
      <c r="L284" s="113" t="n"/>
      <c r="M284" s="114" t="n"/>
      <c r="N284" s="114" t="n"/>
      <c r="O284" s="113" t="n"/>
      <c r="P284" s="113" t="n"/>
      <c r="Q284" s="113" t="n"/>
      <c r="R284" s="114" t="n"/>
      <c r="S284" s="86" t="n"/>
    </row>
    <row r="285" ht="20" customHeight="1">
      <c r="A285" s="33" t="inlineStr">
        <is>
          <t>FP8</t>
        </is>
      </c>
      <c r="B285" s="34" t="n">
        <v>128</v>
      </c>
      <c r="C285" s="34" t="n">
        <v>256</v>
      </c>
      <c r="D285" s="34" t="n">
        <v>32768</v>
      </c>
      <c r="E285" s="34" t="n">
        <v>128</v>
      </c>
      <c r="F285" s="34" t="n">
        <v>64</v>
      </c>
      <c r="G285" s="34" t="n">
        <v>256</v>
      </c>
      <c r="H285" s="34" t="n">
        <v>32</v>
      </c>
      <c r="I285" s="34" t="n">
        <v>16</v>
      </c>
      <c r="J285" s="34" t="n">
        <v>48</v>
      </c>
      <c r="K285" s="119" t="n">
        <v>348441</v>
      </c>
      <c r="L285" s="120">
        <f>ROUND(B285*C285*D285/8192/K285*100,1)/100</f>
        <v/>
      </c>
      <c r="M285" s="121">
        <f>IF(OR(E285="",F285="",G285=""),"",((H285+I285)*1024)/(E285*F285*G285/8192))</f>
        <v/>
      </c>
      <c r="N285" s="121">
        <f>IF(OR(E285="",F285="",G285=""),"",(E285*F285*4)/(E285*F285*G285/8192))</f>
        <v/>
      </c>
      <c r="O285" s="120">
        <f>IF(AND(ISNUMBER(M285),M285&gt;0),MIN(1,128/M285),"")</f>
        <v/>
      </c>
      <c r="P285" s="120">
        <f>IF(AND(ISNUMBER(N285),N285&gt;0),MIN(1,512/N285),"")</f>
        <v/>
      </c>
      <c r="Q285" s="120">
        <f>IF(AND(ISNUMBER(O285),ISNUMBER(P285)),MIN(O285,P285),"")</f>
        <v/>
      </c>
      <c r="R285" s="121">
        <f>IF(AND(ISNUMBER(L285),ISNUMBER(Q285)),(L285-Q285)*100,"")</f>
        <v/>
      </c>
      <c r="S285" s="89" t="inlineStr">
        <is>
          <t>PASS</t>
        </is>
      </c>
      <c r="T285" t="inlineStr">
        <is>
          <t>本轮 model-main 9b3a4405 + 8参数(256KB ShareTReg) 2026-09-22</t>
        </is>
      </c>
    </row>
    <row r="286" ht="20" customHeight="1">
      <c r="A286" s="33" t="inlineStr">
        <is>
          <t>FP8</t>
        </is>
      </c>
      <c r="B286" s="34" t="n">
        <v>128</v>
      </c>
      <c r="C286" s="34" t="n">
        <v>256</v>
      </c>
      <c r="D286" s="34" t="n">
        <v>32768</v>
      </c>
      <c r="E286" s="34" t="n">
        <v>128</v>
      </c>
      <c r="F286" s="34" t="n">
        <v>64</v>
      </c>
      <c r="G286" s="34" t="n">
        <v>512</v>
      </c>
      <c r="H286" s="34" t="n">
        <v>64</v>
      </c>
      <c r="I286" s="34" t="n">
        <v>32</v>
      </c>
      <c r="J286" s="34" t="n">
        <v>96</v>
      </c>
      <c r="K286" s="119" t="n">
        <v>348401</v>
      </c>
      <c r="L286" s="120">
        <f>ROUND(B286*C286*D286/8192/K286*100,1)/100</f>
        <v/>
      </c>
      <c r="M286" s="121">
        <f>IF(OR(E286="",F286="",G286=""),"",((H286+I286)*1024)/(E286*F286*G286/8192))</f>
        <v/>
      </c>
      <c r="N286" s="121">
        <f>IF(OR(E286="",F286="",G286=""),"",(E286*F286*4)/(E286*F286*G286/8192))</f>
        <v/>
      </c>
      <c r="O286" s="120">
        <f>IF(AND(ISNUMBER(M286),M286&gt;0),MIN(1,128/M286),"")</f>
        <v/>
      </c>
      <c r="P286" s="120">
        <f>IF(AND(ISNUMBER(N286),N286&gt;0),MIN(1,512/N286),"")</f>
        <v/>
      </c>
      <c r="Q286" s="120">
        <f>IF(AND(ISNUMBER(O286),ISNUMBER(P286)),MIN(O286,P286),"")</f>
        <v/>
      </c>
      <c r="R286" s="121">
        <f>IF(AND(ISNUMBER(L286),ISNUMBER(Q286)),(L286-Q286)*100,"")</f>
        <v/>
      </c>
      <c r="S286" s="89" t="inlineStr">
        <is>
          <t>PASS</t>
        </is>
      </c>
      <c r="T286" t="inlineStr">
        <is>
          <t>本轮 model-main 9b3a4405 + 8参数(256KB ShareTReg) 2026-09-22</t>
        </is>
      </c>
    </row>
    <row r="287" ht="20" customHeight="1">
      <c r="A287" s="33" t="inlineStr">
        <is>
          <t>FP8</t>
        </is>
      </c>
      <c r="B287" s="34" t="n">
        <v>128</v>
      </c>
      <c r="C287" s="34" t="n">
        <v>256</v>
      </c>
      <c r="D287" s="34" t="n">
        <v>32768</v>
      </c>
      <c r="E287" s="34" t="n">
        <v>128</v>
      </c>
      <c r="F287" s="34" t="n">
        <v>64</v>
      </c>
      <c r="G287" s="34" t="n">
        <v>1024</v>
      </c>
      <c r="H287" s="34" t="n">
        <v>128</v>
      </c>
      <c r="I287" s="34" t="n">
        <v>64</v>
      </c>
      <c r="J287" s="34" t="n">
        <v>192</v>
      </c>
      <c r="K287" s="119" t="n">
        <v>661929</v>
      </c>
      <c r="L287" s="120">
        <f>ROUND(B287*C287*D287/8192/K287*100,1)/100</f>
        <v/>
      </c>
      <c r="M287" s="121">
        <f>IF(OR(E287="",F287="",G287=""),"",((H287+I287)*1024)/(E287*F287*G287/8192))</f>
        <v/>
      </c>
      <c r="N287" s="121">
        <f>IF(OR(E287="",F287="",G287=""),"",(E287*F287*4)/(E287*F287*G287/8192))</f>
        <v/>
      </c>
      <c r="O287" s="120">
        <f>IF(AND(ISNUMBER(M287),M287&gt;0),MIN(1,128/M287),"")</f>
        <v/>
      </c>
      <c r="P287" s="120">
        <f>IF(AND(ISNUMBER(N287),N287&gt;0),MIN(1,512/N287),"")</f>
        <v/>
      </c>
      <c r="Q287" s="120">
        <f>IF(AND(ISNUMBER(O287),ISNUMBER(P287)),MIN(O287,P287),"")</f>
        <v/>
      </c>
      <c r="R287" s="121">
        <f>IF(AND(ISNUMBER(L287),ISNUMBER(Q287)),(L287-Q287)*100,"")</f>
        <v/>
      </c>
      <c r="S287" s="89" t="inlineStr">
        <is>
          <t>PASS</t>
        </is>
      </c>
      <c r="T287" t="inlineStr">
        <is>
          <t>本轮 model-main 9b3a4405 + 8参数(256KB ShareTReg) 2026-09-22</t>
        </is>
      </c>
    </row>
    <row r="288" ht="20" customHeight="1">
      <c r="A288" s="33" t="inlineStr">
        <is>
          <t>FP8</t>
        </is>
      </c>
      <c r="B288" s="34" t="n">
        <v>128</v>
      </c>
      <c r="C288" s="34" t="n">
        <v>256</v>
      </c>
      <c r="D288" s="34" t="n">
        <v>32768</v>
      </c>
      <c r="E288" s="34" t="n">
        <v>128</v>
      </c>
      <c r="F288" s="34" t="n">
        <v>128</v>
      </c>
      <c r="G288" s="34" t="n">
        <v>256</v>
      </c>
      <c r="H288" s="34" t="n">
        <v>32</v>
      </c>
      <c r="I288" s="34" t="n">
        <v>32</v>
      </c>
      <c r="J288" s="34" t="n">
        <v>64</v>
      </c>
      <c r="K288" s="119" t="n">
        <v>233094</v>
      </c>
      <c r="L288" s="120">
        <f>ROUND(B288*C288*D288/8192/K288*100,1)/100</f>
        <v/>
      </c>
      <c r="M288" s="121">
        <f>IF(OR(E288="",F288="",G288=""),"",((H288+I288)*1024)/(E288*F288*G288/8192))</f>
        <v/>
      </c>
      <c r="N288" s="121">
        <f>IF(OR(E288="",F288="",G288=""),"",(E288*F288*4)/(E288*F288*G288/8192))</f>
        <v/>
      </c>
      <c r="O288" s="120">
        <f>IF(AND(ISNUMBER(M288),M288&gt;0),MIN(1,128/M288),"")</f>
        <v/>
      </c>
      <c r="P288" s="120">
        <f>IF(AND(ISNUMBER(N288),N288&gt;0),MIN(1,512/N288),"")</f>
        <v/>
      </c>
      <c r="Q288" s="120">
        <f>IF(AND(ISNUMBER(O288),ISNUMBER(P288)),MIN(O288,P288),"")</f>
        <v/>
      </c>
      <c r="R288" s="121">
        <f>IF(AND(ISNUMBER(L288),ISNUMBER(Q288)),(L288-Q288)*100,"")</f>
        <v/>
      </c>
      <c r="S288" s="89" t="inlineStr">
        <is>
          <t>PASS</t>
        </is>
      </c>
      <c r="T288" t="inlineStr">
        <is>
          <t>本轮 model-main 9b3a4405 + 8参数(256KB ShareTReg) 2026-09-22</t>
        </is>
      </c>
    </row>
    <row r="289" ht="20" customHeight="1">
      <c r="A289" s="33" t="inlineStr">
        <is>
          <t>FP8</t>
        </is>
      </c>
      <c r="B289" s="34" t="n">
        <v>128</v>
      </c>
      <c r="C289" s="34" t="n">
        <v>256</v>
      </c>
      <c r="D289" s="34" t="n">
        <v>32768</v>
      </c>
      <c r="E289" s="34" t="n">
        <v>128</v>
      </c>
      <c r="F289" s="34" t="n">
        <v>128</v>
      </c>
      <c r="G289" s="34" t="n">
        <v>512</v>
      </c>
      <c r="H289" s="34" t="n">
        <v>64</v>
      </c>
      <c r="I289" s="34" t="n">
        <v>64</v>
      </c>
      <c r="J289" s="34" t="n">
        <v>128</v>
      </c>
      <c r="K289" s="119" t="n">
        <v>237335</v>
      </c>
      <c r="L289" s="120">
        <f>ROUND(B289*C289*D289/8192/K289*100,1)/100</f>
        <v/>
      </c>
      <c r="M289" s="121">
        <f>IF(OR(E289="",F289="",G289=""),"",((H289+I289)*1024)/(E289*F289*G289/8192))</f>
        <v/>
      </c>
      <c r="N289" s="121">
        <f>IF(OR(E289="",F289="",G289=""),"",(E289*F289*4)/(E289*F289*G289/8192))</f>
        <v/>
      </c>
      <c r="O289" s="120">
        <f>IF(AND(ISNUMBER(M289),M289&gt;0),MIN(1,128/M289),"")</f>
        <v/>
      </c>
      <c r="P289" s="120">
        <f>IF(AND(ISNUMBER(N289),N289&gt;0),MIN(1,512/N289),"")</f>
        <v/>
      </c>
      <c r="Q289" s="120">
        <f>IF(AND(ISNUMBER(O289),ISNUMBER(P289)),MIN(O289,P289),"")</f>
        <v/>
      </c>
      <c r="R289" s="121">
        <f>IF(AND(ISNUMBER(L289),ISNUMBER(Q289)),(L289-Q289)*100,"")</f>
        <v/>
      </c>
      <c r="S289" s="89" t="inlineStr">
        <is>
          <t>PASS</t>
        </is>
      </c>
      <c r="T289" t="inlineStr">
        <is>
          <t>本轮 model-main 9b3a4405 + 8参数(256KB ShareTReg) 2026-09-22</t>
        </is>
      </c>
    </row>
    <row r="290" ht="20" customHeight="1">
      <c r="A290" s="33" t="inlineStr">
        <is>
          <t>FP8</t>
        </is>
      </c>
      <c r="B290" s="34" t="n">
        <v>128</v>
      </c>
      <c r="C290" s="34" t="n">
        <v>256</v>
      </c>
      <c r="D290" s="34" t="n">
        <v>32768</v>
      </c>
      <c r="E290" s="34" t="n">
        <v>128</v>
      </c>
      <c r="F290" s="34" t="n">
        <v>128</v>
      </c>
      <c r="G290" s="34" t="n">
        <v>1024</v>
      </c>
      <c r="H290" s="34" t="n">
        <v>128</v>
      </c>
      <c r="I290" s="34" t="n">
        <v>128</v>
      </c>
      <c r="J290" s="34" t="n">
        <v>256</v>
      </c>
      <c r="K290" s="119" t="n">
        <v>454820</v>
      </c>
      <c r="L290" s="120">
        <f>ROUND(B290*C290*D290/8192/K290*100,1)/100</f>
        <v/>
      </c>
      <c r="M290" s="121">
        <f>IF(OR(E290="",F290="",G290=""),"",((H290+I290)*1024)/(E290*F290*G290/8192))</f>
        <v/>
      </c>
      <c r="N290" s="121">
        <f>IF(OR(E290="",F290="",G290=""),"",(E290*F290*4)/(E290*F290*G290/8192))</f>
        <v/>
      </c>
      <c r="O290" s="120">
        <f>IF(AND(ISNUMBER(M290),M290&gt;0),MIN(1,128/M290),"")</f>
        <v/>
      </c>
      <c r="P290" s="120">
        <f>IF(AND(ISNUMBER(N290),N290&gt;0),MIN(1,512/N290),"")</f>
        <v/>
      </c>
      <c r="Q290" s="120">
        <f>IF(AND(ISNUMBER(O290),ISNUMBER(P290)),MIN(O290,P290),"")</f>
        <v/>
      </c>
      <c r="R290" s="121">
        <f>IF(AND(ISNUMBER(L290),ISNUMBER(Q290)),(L290-Q290)*100,"")</f>
        <v/>
      </c>
      <c r="S290" s="89" t="inlineStr">
        <is>
          <t>PASS</t>
        </is>
      </c>
      <c r="T290" t="inlineStr">
        <is>
          <t>本轮 model-main 9b3a4405 + 8参数(256KB ShareTReg) 2026-09-22</t>
        </is>
      </c>
    </row>
    <row r="291" ht="20" customHeight="1">
      <c r="A291" s="33" t="inlineStr">
        <is>
          <t>FP8</t>
        </is>
      </c>
      <c r="B291" s="34" t="n">
        <v>128</v>
      </c>
      <c r="C291" s="34" t="n">
        <v>256</v>
      </c>
      <c r="D291" s="34" t="n">
        <v>32768</v>
      </c>
      <c r="E291" s="102" t="n">
        <v>128</v>
      </c>
      <c r="F291" s="102" t="n">
        <v>256</v>
      </c>
      <c r="G291" s="102" t="n">
        <v>256</v>
      </c>
      <c r="H291" s="34" t="n">
        <v>32</v>
      </c>
      <c r="I291" s="34" t="n">
        <v>64</v>
      </c>
      <c r="J291" s="34" t="n">
        <v>96</v>
      </c>
      <c r="K291" s="119" t="n">
        <v>175901</v>
      </c>
      <c r="L291" s="118">
        <f>ROUND(B291*C291*D291/8192/K291*100,1)/100</f>
        <v/>
      </c>
      <c r="M291" s="121">
        <f>IF(OR(E291="",F291="",G291=""),"",((H291+I291)*1024)/(E291*F291*G291/8192))</f>
        <v/>
      </c>
      <c r="N291" s="121">
        <f>IF(OR(E291="",F291="",G291=""),"",(E291*F291*4)/(E291*F291*G291/8192))</f>
        <v/>
      </c>
      <c r="O291" s="120">
        <f>IF(AND(ISNUMBER(M291),M291&gt;0),MIN(1,128/M291),"")</f>
        <v/>
      </c>
      <c r="P291" s="120">
        <f>IF(AND(ISNUMBER(N291),N291&gt;0),MIN(1,512/N291),"")</f>
        <v/>
      </c>
      <c r="Q291" s="120">
        <f>IF(AND(ISNUMBER(O291),ISNUMBER(P291)),MIN(O291,P291),"")</f>
        <v/>
      </c>
      <c r="R291" s="121">
        <f>IF(AND(ISNUMBER(L291),ISNUMBER(Q291)),(L291-Q291)*100,"")</f>
        <v/>
      </c>
      <c r="S291" s="89" t="inlineStr">
        <is>
          <t>PASS</t>
        </is>
      </c>
      <c r="T291" t="inlineStr">
        <is>
          <t>本轮 model-main 9b3a4405 + 8参数(256KB ShareTReg) 2026-09-22</t>
        </is>
      </c>
    </row>
    <row r="292" ht="20" customHeight="1">
      <c r="A292" s="33" t="inlineStr">
        <is>
          <t>FP8</t>
        </is>
      </c>
      <c r="B292" s="34" t="n">
        <v>128</v>
      </c>
      <c r="C292" s="34" t="n">
        <v>256</v>
      </c>
      <c r="D292" s="34" t="n">
        <v>32768</v>
      </c>
      <c r="E292" s="34" t="n">
        <v>128</v>
      </c>
      <c r="F292" s="34" t="n">
        <v>256</v>
      </c>
      <c r="G292" s="34" t="n">
        <v>512</v>
      </c>
      <c r="H292" s="34" t="n">
        <v>64</v>
      </c>
      <c r="I292" s="34" t="n">
        <v>128</v>
      </c>
      <c r="J292" s="34" t="n">
        <v>192</v>
      </c>
      <c r="K292" s="119" t="n">
        <v>298529</v>
      </c>
      <c r="L292" s="120">
        <f>ROUND(B292*C292*D292/8192/K292*100,1)/100</f>
        <v/>
      </c>
      <c r="M292" s="121">
        <f>IF(OR(E292="",F292="",G292=""),"",((H292+I292)*1024)/(E292*F292*G292/8192))</f>
        <v/>
      </c>
      <c r="N292" s="121">
        <f>IF(OR(E292="",F292="",G292=""),"",(E292*F292*4)/(E292*F292*G292/8192))</f>
        <v/>
      </c>
      <c r="O292" s="120">
        <f>IF(AND(ISNUMBER(M292),M292&gt;0),MIN(1,128/M292),"")</f>
        <v/>
      </c>
      <c r="P292" s="120">
        <f>IF(AND(ISNUMBER(N292),N292&gt;0),MIN(1,512/N292),"")</f>
        <v/>
      </c>
      <c r="Q292" s="120">
        <f>IF(AND(ISNUMBER(O292),ISNUMBER(P292)),MIN(O292,P292),"")</f>
        <v/>
      </c>
      <c r="R292" s="121">
        <f>IF(AND(ISNUMBER(L292),ISNUMBER(Q292)),(L292-Q292)*100,"")</f>
        <v/>
      </c>
      <c r="S292" s="89" t="inlineStr">
        <is>
          <t>PASS</t>
        </is>
      </c>
      <c r="T292" t="inlineStr">
        <is>
          <t>本轮 model-main 9b3a4405 + 8参数(256KB ShareTReg) 2026-09-22</t>
        </is>
      </c>
    </row>
    <row r="293" ht="20" customHeight="1">
      <c r="A293" s="33" t="inlineStr">
        <is>
          <t>FP8</t>
        </is>
      </c>
      <c r="B293" s="34" t="n">
        <v>128</v>
      </c>
      <c r="C293" s="34" t="n">
        <v>256</v>
      </c>
      <c r="D293" s="34" t="n">
        <v>32768</v>
      </c>
      <c r="E293" s="34" t="n">
        <v>128</v>
      </c>
      <c r="F293" s="34" t="n">
        <v>256</v>
      </c>
      <c r="G293" s="34" t="n">
        <v>1024</v>
      </c>
      <c r="H293" s="34" t="n">
        <v>128</v>
      </c>
      <c r="I293" s="34" t="n">
        <v>256</v>
      </c>
      <c r="J293" s="34" t="n">
        <v>384</v>
      </c>
      <c r="K293" s="119" t="inlineStr">
        <is>
          <t>—</t>
        </is>
      </c>
      <c r="L293" s="120" t="n"/>
      <c r="M293" s="121">
        <f>IF(OR(E293="",F293="",G293=""),"",((H293+I293)*1024)/(E293*F293*G293/8192))</f>
        <v/>
      </c>
      <c r="N293" s="121">
        <f>IF(OR(E293="",F293="",G293=""),"",(E293*F293*4)/(E293*F293*G293/8192))</f>
        <v/>
      </c>
      <c r="O293" s="120">
        <f>IF(AND(ISNUMBER(M293),M293&gt;0),MIN(1,128/M293),"")</f>
        <v/>
      </c>
      <c r="P293" s="120">
        <f>IF(AND(ISNUMBER(N293),N293&gt;0),MIN(1,512/N293),"")</f>
        <v/>
      </c>
      <c r="Q293" s="120">
        <f>IF(AND(ISNUMBER(O293),ISNUMBER(P293)),MIN(O293,P293),"")</f>
        <v/>
      </c>
      <c r="R293" s="121" t="n"/>
      <c r="S293" s="95" t="inlineStr">
        <is>
          <t>COMPILE_FAIL</t>
        </is>
      </c>
      <c r="T293" t="inlineStr">
        <is>
          <t>容量超限：完整 SharedTile 足迹 &gt; 256 KiB；本轮 model-main 9b3a4405 + 8参数(256KB ShareTReg) 2026-09-22</t>
        </is>
      </c>
    </row>
    <row r="294" ht="23" customHeight="1">
      <c r="A294" s="81" t="inlineStr">
        <is>
          <t>MXFP8</t>
        </is>
      </c>
      <c r="B294" s="82" t="n"/>
      <c r="C294" s="82" t="n"/>
      <c r="D294" s="82" t="n"/>
      <c r="E294" s="82" t="n"/>
      <c r="F294" s="82" t="n"/>
      <c r="G294" s="82" t="n"/>
      <c r="H294" s="82" t="n"/>
      <c r="I294" s="82" t="n"/>
      <c r="J294" s="82" t="n"/>
      <c r="K294" s="112" t="n"/>
      <c r="L294" s="113" t="n"/>
      <c r="M294" s="114" t="n"/>
      <c r="N294" s="114" t="n"/>
      <c r="O294" s="113" t="n"/>
      <c r="P294" s="113" t="n"/>
      <c r="Q294" s="113" t="n"/>
      <c r="R294" s="114" t="n"/>
      <c r="S294" s="86" t="n"/>
    </row>
    <row r="295" ht="20" customHeight="1">
      <c r="A295" s="39" t="inlineStr">
        <is>
          <t>MXFP8</t>
        </is>
      </c>
      <c r="B295" s="40" t="n">
        <v>128</v>
      </c>
      <c r="C295" s="40" t="n">
        <v>256</v>
      </c>
      <c r="D295" s="40" t="n">
        <v>32768</v>
      </c>
      <c r="E295" s="40" t="n">
        <v>128</v>
      </c>
      <c r="F295" s="40" t="n">
        <v>64</v>
      </c>
      <c r="G295" s="40" t="n">
        <v>256</v>
      </c>
      <c r="H295" s="40" t="n">
        <v>36</v>
      </c>
      <c r="I295" s="40" t="n">
        <v>18</v>
      </c>
      <c r="J295" s="40" t="n">
        <v>54</v>
      </c>
      <c r="K295" s="122" t="n">
        <v>522597</v>
      </c>
      <c r="L295" s="123" t="n"/>
      <c r="M295" s="124">
        <f>IF(OR(E295="",F295="",G295=""),"",((H295+I295)*1024)/(E295*F295*G295/8192))</f>
        <v/>
      </c>
      <c r="N295" s="124">
        <f>IF(OR(E295="",F295="",G295=""),"",(E295*F295*4)/(E295*F295*G295/8192))</f>
        <v/>
      </c>
      <c r="O295" s="123">
        <f>IF(AND(ISNUMBER(M295),M295&gt;0),MIN(1,128/M295),"")</f>
        <v/>
      </c>
      <c r="P295" s="123">
        <f>IF(AND(ISNUMBER(N295),N295&gt;0),MIN(1,512/N295),"")</f>
        <v/>
      </c>
      <c r="Q295" s="123">
        <f>IF(AND(ISNUMBER(O295),ISNUMBER(P295)),MIN(O295,P295),"")</f>
        <v/>
      </c>
      <c r="R295" s="124" t="n"/>
      <c r="S295" s="90" t="inlineStr">
        <is>
          <t>PASS</t>
        </is>
      </c>
      <c r="T295" t="inlineStr">
        <is>
          <t>本轮 model-main 9b3a4405 + 8参数(256KB ShareTReg) 2026-09-22</t>
        </is>
      </c>
    </row>
    <row r="296" ht="20" customHeight="1">
      <c r="A296" s="39" t="inlineStr">
        <is>
          <t>MXFP8</t>
        </is>
      </c>
      <c r="B296" s="40" t="n">
        <v>128</v>
      </c>
      <c r="C296" s="40" t="n">
        <v>256</v>
      </c>
      <c r="D296" s="40" t="n">
        <v>32768</v>
      </c>
      <c r="E296" s="40" t="n">
        <v>128</v>
      </c>
      <c r="F296" s="40" t="n">
        <v>64</v>
      </c>
      <c r="G296" s="40" t="n">
        <v>512</v>
      </c>
      <c r="H296" s="40" t="n">
        <v>68</v>
      </c>
      <c r="I296" s="40" t="n">
        <v>34</v>
      </c>
      <c r="J296" s="40" t="n">
        <v>102</v>
      </c>
      <c r="K296" s="122" t="n">
        <v>436006</v>
      </c>
      <c r="L296" s="123" t="n"/>
      <c r="M296" s="124">
        <f>IF(OR(E296="",F296="",G296=""),"",((H296+I296)*1024)/(E296*F296*G296/8192))</f>
        <v/>
      </c>
      <c r="N296" s="124">
        <f>IF(OR(E296="",F296="",G296=""),"",(E296*F296*4)/(E296*F296*G296/8192))</f>
        <v/>
      </c>
      <c r="O296" s="123">
        <f>IF(AND(ISNUMBER(M296),M296&gt;0),MIN(1,128/M296),"")</f>
        <v/>
      </c>
      <c r="P296" s="123">
        <f>IF(AND(ISNUMBER(N296),N296&gt;0),MIN(1,512/N296),"")</f>
        <v/>
      </c>
      <c r="Q296" s="123">
        <f>IF(AND(ISNUMBER(O296),ISNUMBER(P296)),MIN(O296,P296),"")</f>
        <v/>
      </c>
      <c r="R296" s="124" t="n"/>
      <c r="S296" s="90" t="inlineStr">
        <is>
          <t>PASS</t>
        </is>
      </c>
      <c r="T296" t="inlineStr">
        <is>
          <t>本轮 model-main 9b3a4405 + 8参数(256KB ShareTReg) 2026-09-22</t>
        </is>
      </c>
    </row>
    <row r="297" ht="20" customHeight="1">
      <c r="A297" s="39" t="inlineStr">
        <is>
          <t>MXFP8</t>
        </is>
      </c>
      <c r="B297" s="40" t="n">
        <v>128</v>
      </c>
      <c r="C297" s="40" t="n">
        <v>256</v>
      </c>
      <c r="D297" s="40" t="n">
        <v>32768</v>
      </c>
      <c r="E297" s="40" t="n">
        <v>128</v>
      </c>
      <c r="F297" s="40" t="n">
        <v>64</v>
      </c>
      <c r="G297" s="40" t="n">
        <v>1024</v>
      </c>
      <c r="H297" s="40" t="n">
        <v>132</v>
      </c>
      <c r="I297" s="40" t="n">
        <v>66</v>
      </c>
      <c r="J297" s="40" t="n">
        <v>198</v>
      </c>
      <c r="K297" s="122" t="n">
        <v>743579</v>
      </c>
      <c r="L297" s="123" t="n"/>
      <c r="M297" s="124">
        <f>IF(OR(E297="",F297="",G297=""),"",((H297+I297)*1024)/(E297*F297*G297/8192))</f>
        <v/>
      </c>
      <c r="N297" s="124">
        <f>IF(OR(E297="",F297="",G297=""),"",(E297*F297*4)/(E297*F297*G297/8192))</f>
        <v/>
      </c>
      <c r="O297" s="123">
        <f>IF(AND(ISNUMBER(M297),M297&gt;0),MIN(1,128/M297),"")</f>
        <v/>
      </c>
      <c r="P297" s="123">
        <f>IF(AND(ISNUMBER(N297),N297&gt;0),MIN(1,512/N297),"")</f>
        <v/>
      </c>
      <c r="Q297" s="123">
        <f>IF(AND(ISNUMBER(O297),ISNUMBER(P297)),MIN(O297,P297),"")</f>
        <v/>
      </c>
      <c r="R297" s="124" t="n"/>
      <c r="S297" s="90" t="inlineStr">
        <is>
          <t>PASS</t>
        </is>
      </c>
      <c r="T297" t="inlineStr">
        <is>
          <t>本轮 model-main 9b3a4405 + 8参数(256KB ShareTReg) 2026-09-22</t>
        </is>
      </c>
    </row>
    <row r="298" ht="20" customHeight="1">
      <c r="A298" s="39" t="inlineStr">
        <is>
          <t>MXFP8</t>
        </is>
      </c>
      <c r="B298" s="40" t="n">
        <v>128</v>
      </c>
      <c r="C298" s="40" t="n">
        <v>256</v>
      </c>
      <c r="D298" s="40" t="n">
        <v>32768</v>
      </c>
      <c r="E298" s="40" t="n">
        <v>128</v>
      </c>
      <c r="F298" s="40" t="n">
        <v>128</v>
      </c>
      <c r="G298" s="40" t="n">
        <v>256</v>
      </c>
      <c r="H298" s="40" t="n">
        <v>36</v>
      </c>
      <c r="I298" s="40" t="n">
        <v>36</v>
      </c>
      <c r="J298" s="40" t="n">
        <v>72</v>
      </c>
      <c r="K298" s="122" t="n">
        <v>348548</v>
      </c>
      <c r="L298" s="123" t="n"/>
      <c r="M298" s="124">
        <f>IF(OR(E298="",F298="",G298=""),"",((H298+I298)*1024)/(E298*F298*G298/8192))</f>
        <v/>
      </c>
      <c r="N298" s="124">
        <f>IF(OR(E298="",F298="",G298=""),"",(E298*F298*4)/(E298*F298*G298/8192))</f>
        <v/>
      </c>
      <c r="O298" s="123">
        <f>IF(AND(ISNUMBER(M298),M298&gt;0),MIN(1,128/M298),"")</f>
        <v/>
      </c>
      <c r="P298" s="123">
        <f>IF(AND(ISNUMBER(N298),N298&gt;0),MIN(1,512/N298),"")</f>
        <v/>
      </c>
      <c r="Q298" s="123">
        <f>IF(AND(ISNUMBER(O298),ISNUMBER(P298)),MIN(O298,P298),"")</f>
        <v/>
      </c>
      <c r="R298" s="124" t="n"/>
      <c r="S298" s="90" t="inlineStr">
        <is>
          <t>PASS</t>
        </is>
      </c>
      <c r="T298" t="inlineStr">
        <is>
          <t>本轮 model-main 9b3a4405 + 8参数(256KB ShareTReg) 2026-09-22</t>
        </is>
      </c>
    </row>
    <row r="299" ht="20" customHeight="1">
      <c r="A299" s="39" t="inlineStr">
        <is>
          <t>MXFP8</t>
        </is>
      </c>
      <c r="B299" s="40" t="n">
        <v>128</v>
      </c>
      <c r="C299" s="40" t="n">
        <v>256</v>
      </c>
      <c r="D299" s="40" t="n">
        <v>32768</v>
      </c>
      <c r="E299" s="40" t="n">
        <v>128</v>
      </c>
      <c r="F299" s="40" t="n">
        <v>128</v>
      </c>
      <c r="G299" s="40" t="n">
        <v>512</v>
      </c>
      <c r="H299" s="40" t="n">
        <v>68</v>
      </c>
      <c r="I299" s="40" t="n">
        <v>68</v>
      </c>
      <c r="J299" s="40" t="n">
        <v>136</v>
      </c>
      <c r="K299" s="122" t="n">
        <v>411463</v>
      </c>
      <c r="L299" s="123" t="n"/>
      <c r="M299" s="124">
        <f>IF(OR(E299="",F299="",G299=""),"",((H299+I299)*1024)/(E299*F299*G299/8192))</f>
        <v/>
      </c>
      <c r="N299" s="124">
        <f>IF(OR(E299="",F299="",G299=""),"",(E299*F299*4)/(E299*F299*G299/8192))</f>
        <v/>
      </c>
      <c r="O299" s="123">
        <f>IF(AND(ISNUMBER(M299),M299&gt;0),MIN(1,128/M299),"")</f>
        <v/>
      </c>
      <c r="P299" s="123">
        <f>IF(AND(ISNUMBER(N299),N299&gt;0),MIN(1,512/N299),"")</f>
        <v/>
      </c>
      <c r="Q299" s="123">
        <f>IF(AND(ISNUMBER(O299),ISNUMBER(P299)),MIN(O299,P299),"")</f>
        <v/>
      </c>
      <c r="R299" s="124" t="n"/>
      <c r="S299" s="90" t="inlineStr">
        <is>
          <t>PASS</t>
        </is>
      </c>
      <c r="T299" t="inlineStr">
        <is>
          <t>本轮 model-main 9b3a4405 + 8参数(256KB ShareTReg) 2026-09-22</t>
        </is>
      </c>
    </row>
    <row r="300" ht="20" customHeight="1">
      <c r="A300" s="39" t="inlineStr">
        <is>
          <t>MXFP8</t>
        </is>
      </c>
      <c r="B300" s="40" t="n">
        <v>128</v>
      </c>
      <c r="C300" s="40" t="n">
        <v>256</v>
      </c>
      <c r="D300" s="40" t="n">
        <v>32768</v>
      </c>
      <c r="E300" s="40" t="n">
        <v>128</v>
      </c>
      <c r="F300" s="40" t="n">
        <v>128</v>
      </c>
      <c r="G300" s="40" t="n">
        <v>1024</v>
      </c>
      <c r="H300" s="40" t="n">
        <v>132</v>
      </c>
      <c r="I300" s="40" t="n">
        <v>132</v>
      </c>
      <c r="J300" s="40" t="n">
        <v>264</v>
      </c>
      <c r="K300" s="122" t="inlineStr">
        <is>
          <t>—</t>
        </is>
      </c>
      <c r="L300" s="123" t="n"/>
      <c r="M300" s="124">
        <f>IF(OR(E300="",F300="",G300=""),"",((H300+I300)*1024)/(E300*F300*G300/8192))</f>
        <v/>
      </c>
      <c r="N300" s="124">
        <f>IF(OR(E300="",F300="",G300=""),"",(E300*F300*4)/(E300*F300*G300/8192))</f>
        <v/>
      </c>
      <c r="O300" s="123">
        <f>IF(AND(ISNUMBER(M300),M300&gt;0),MIN(1,128/M300),"")</f>
        <v/>
      </c>
      <c r="P300" s="123">
        <f>IF(AND(ISNUMBER(N300),N300&gt;0),MIN(1,512/N300),"")</f>
        <v/>
      </c>
      <c r="Q300" s="123">
        <f>IF(AND(ISNUMBER(O300),ISNUMBER(P300)),MIN(O300,P300),"")</f>
        <v/>
      </c>
      <c r="R300" s="124" t="n"/>
      <c r="S300" s="96" t="inlineStr">
        <is>
          <t>COMPILE_FAIL</t>
        </is>
      </c>
      <c r="T300" t="inlineStr">
        <is>
          <t>容量超限：完整 SharedTile 足迹 &gt; 256 KiB；本轮 model-main 9b3a4405 + 8参数(256KB ShareTReg) 2026-09-22</t>
        </is>
      </c>
    </row>
    <row r="301" ht="20" customHeight="1">
      <c r="A301" s="39" t="inlineStr">
        <is>
          <t>MXFP8</t>
        </is>
      </c>
      <c r="B301" s="40" t="n">
        <v>128</v>
      </c>
      <c r="C301" s="40" t="n">
        <v>256</v>
      </c>
      <c r="D301" s="40" t="n">
        <v>32768</v>
      </c>
      <c r="E301" s="40" t="n">
        <v>128</v>
      </c>
      <c r="F301" s="40" t="n">
        <v>256</v>
      </c>
      <c r="G301" s="40" t="n">
        <v>256</v>
      </c>
      <c r="H301" s="40" t="n">
        <v>36</v>
      </c>
      <c r="I301" s="40" t="n">
        <v>72</v>
      </c>
      <c r="J301" s="40" t="n">
        <v>108</v>
      </c>
      <c r="K301" s="122" t="n">
        <v>262507</v>
      </c>
      <c r="L301" s="123" t="n"/>
      <c r="M301" s="124">
        <f>IF(OR(E301="",F301="",G301=""),"",((H301+I301)*1024)/(E301*F301*G301/8192))</f>
        <v/>
      </c>
      <c r="N301" s="124">
        <f>IF(OR(E301="",F301="",G301=""),"",(E301*F301*4)/(E301*F301*G301/8192))</f>
        <v/>
      </c>
      <c r="O301" s="123">
        <f>IF(AND(ISNUMBER(M301),M301&gt;0),MIN(1,128/M301),"")</f>
        <v/>
      </c>
      <c r="P301" s="123">
        <f>IF(AND(ISNUMBER(N301),N301&gt;0),MIN(1,512/N301),"")</f>
        <v/>
      </c>
      <c r="Q301" s="123">
        <f>IF(AND(ISNUMBER(O301),ISNUMBER(P301)),MIN(O301,P301),"")</f>
        <v/>
      </c>
      <c r="R301" s="124" t="n"/>
      <c r="S301" s="90" t="inlineStr">
        <is>
          <t>PASS</t>
        </is>
      </c>
      <c r="T301" t="inlineStr">
        <is>
          <t>本轮 model-main 9b3a4405 + 8参数(256KB ShareTReg) 2026-09-22</t>
        </is>
      </c>
    </row>
    <row r="302" ht="20" customHeight="1">
      <c r="A302" s="39" t="inlineStr">
        <is>
          <t>MXFP8</t>
        </is>
      </c>
      <c r="B302" s="40" t="n">
        <v>128</v>
      </c>
      <c r="C302" s="40" t="n">
        <v>256</v>
      </c>
      <c r="D302" s="40" t="n">
        <v>32768</v>
      </c>
      <c r="E302" s="40" t="n">
        <v>128</v>
      </c>
      <c r="F302" s="40" t="n">
        <v>256</v>
      </c>
      <c r="G302" s="40" t="n">
        <v>512</v>
      </c>
      <c r="H302" s="40" t="n">
        <v>68</v>
      </c>
      <c r="I302" s="40" t="n">
        <v>136</v>
      </c>
      <c r="J302" s="40" t="n">
        <v>204</v>
      </c>
      <c r="K302" s="122" t="n">
        <v>404951</v>
      </c>
      <c r="L302" s="123" t="n"/>
      <c r="M302" s="124">
        <f>IF(OR(E302="",F302="",G302=""),"",((H302+I302)*1024)/(E302*F302*G302/8192))</f>
        <v/>
      </c>
      <c r="N302" s="124">
        <f>IF(OR(E302="",F302="",G302=""),"",(E302*F302*4)/(E302*F302*G302/8192))</f>
        <v/>
      </c>
      <c r="O302" s="123">
        <f>IF(AND(ISNUMBER(M302),M302&gt;0),MIN(1,128/M302),"")</f>
        <v/>
      </c>
      <c r="P302" s="123">
        <f>IF(AND(ISNUMBER(N302),N302&gt;0),MIN(1,512/N302),"")</f>
        <v/>
      </c>
      <c r="Q302" s="123">
        <f>IF(AND(ISNUMBER(O302),ISNUMBER(P302)),MIN(O302,P302),"")</f>
        <v/>
      </c>
      <c r="R302" s="124" t="n"/>
      <c r="S302" s="90" t="inlineStr">
        <is>
          <t>PASS</t>
        </is>
      </c>
      <c r="T302" t="inlineStr">
        <is>
          <t>本轮 model-main 9b3a4405 + 8参数(256KB ShareTReg) 2026-09-22</t>
        </is>
      </c>
    </row>
    <row r="303" ht="20" customHeight="1">
      <c r="A303" s="39" t="inlineStr">
        <is>
          <t>MXFP8</t>
        </is>
      </c>
      <c r="B303" s="40" t="n">
        <v>128</v>
      </c>
      <c r="C303" s="40" t="n">
        <v>256</v>
      </c>
      <c r="D303" s="40" t="n">
        <v>32768</v>
      </c>
      <c r="E303" s="40" t="n">
        <v>128</v>
      </c>
      <c r="F303" s="40" t="n">
        <v>256</v>
      </c>
      <c r="G303" s="40" t="n">
        <v>1024</v>
      </c>
      <c r="H303" s="40" t="n">
        <v>132</v>
      </c>
      <c r="I303" s="40" t="n">
        <v>264</v>
      </c>
      <c r="J303" s="40" t="n">
        <v>396</v>
      </c>
      <c r="K303" s="122" t="inlineStr">
        <is>
          <t>—</t>
        </is>
      </c>
      <c r="L303" s="123" t="n"/>
      <c r="M303" s="124">
        <f>IF(OR(E303="",F303="",G303=""),"",((H303+I303)*1024)/(E303*F303*G303/8192))</f>
        <v/>
      </c>
      <c r="N303" s="124">
        <f>IF(OR(E303="",F303="",G303=""),"",(E303*F303*4)/(E303*F303*G303/8192))</f>
        <v/>
      </c>
      <c r="O303" s="123">
        <f>IF(AND(ISNUMBER(M303),M303&gt;0),MIN(1,128/M303),"")</f>
        <v/>
      </c>
      <c r="P303" s="123">
        <f>IF(AND(ISNUMBER(N303),N303&gt;0),MIN(1,512/N303),"")</f>
        <v/>
      </c>
      <c r="Q303" s="123">
        <f>IF(AND(ISNUMBER(O303),ISNUMBER(P303)),MIN(O303,P303),"")</f>
        <v/>
      </c>
      <c r="R303" s="124" t="n"/>
      <c r="S303" s="96" t="inlineStr">
        <is>
          <t>COMPILE_FAIL</t>
        </is>
      </c>
      <c r="T303" t="inlineStr">
        <is>
          <t>容量超限：完整 SharedTile 足迹 &gt; 256 KiB；本轮 model-main 9b3a4405 + 8参数(256KB ShareTReg) 2026-09-22</t>
        </is>
      </c>
    </row>
    <row r="304" ht="23" customHeight="1">
      <c r="A304" s="81" t="inlineStr">
        <is>
          <t>MXFP4</t>
        </is>
      </c>
      <c r="B304" s="82" t="n"/>
      <c r="C304" s="82" t="n"/>
      <c r="D304" s="82" t="n"/>
      <c r="E304" s="82" t="n"/>
      <c r="F304" s="82" t="n"/>
      <c r="G304" s="82" t="n"/>
      <c r="H304" s="82" t="n"/>
      <c r="I304" s="82" t="n"/>
      <c r="J304" s="82" t="n"/>
      <c r="K304" s="112" t="n"/>
      <c r="L304" s="113" t="n"/>
      <c r="M304" s="114" t="n"/>
      <c r="N304" s="114" t="n"/>
      <c r="O304" s="113" t="n"/>
      <c r="P304" s="113" t="n"/>
      <c r="Q304" s="113" t="n"/>
      <c r="R304" s="114" t="n"/>
      <c r="S304" s="86" t="n"/>
    </row>
    <row r="305" ht="20" customHeight="1">
      <c r="A305" s="45" t="inlineStr">
        <is>
          <t>MXFP4</t>
        </is>
      </c>
      <c r="B305" s="46" t="n">
        <v>128</v>
      </c>
      <c r="C305" s="46" t="n">
        <v>256</v>
      </c>
      <c r="D305" s="46" t="n">
        <v>32768</v>
      </c>
      <c r="E305" s="46" t="n">
        <v>128</v>
      </c>
      <c r="F305" s="46" t="n">
        <v>64</v>
      </c>
      <c r="G305" s="46" t="n">
        <v>256</v>
      </c>
      <c r="H305" s="46" t="n">
        <v>36</v>
      </c>
      <c r="I305" s="46" t="n">
        <v>18</v>
      </c>
      <c r="J305" s="46" t="n">
        <v>54</v>
      </c>
      <c r="K305" s="125" t="n">
        <v>522339</v>
      </c>
      <c r="L305" s="126" t="n"/>
      <c r="M305" s="127">
        <f>IF(OR(E305="",F305="",G305=""),"",((H305+I305)*1024)/(E305*F305*G305/16384))</f>
        <v/>
      </c>
      <c r="N305" s="127">
        <f>IF(OR(E305="",F305="",G305=""),"",(E305*F305*4)/(E305*F305*G305/16384))</f>
        <v/>
      </c>
      <c r="O305" s="126">
        <f>IF(AND(ISNUMBER(M305),M305&gt;0),MIN(1,128/M305),"")</f>
        <v/>
      </c>
      <c r="P305" s="126">
        <f>IF(AND(ISNUMBER(N305),N305&gt;0),MIN(1,512/N305),"")</f>
        <v/>
      </c>
      <c r="Q305" s="126">
        <f>IF(AND(ISNUMBER(O305),ISNUMBER(P305)),MIN(O305,P305),"")</f>
        <v/>
      </c>
      <c r="R305" s="127" t="n"/>
      <c r="S305" s="93" t="inlineStr">
        <is>
          <t>PASS</t>
        </is>
      </c>
      <c r="T305" t="inlineStr">
        <is>
          <t>本轮 model-main 9b3a4405 + 8参数(256KB ShareTReg) 2026-09-22</t>
        </is>
      </c>
    </row>
    <row r="306" ht="20" customHeight="1">
      <c r="A306" s="45" t="inlineStr">
        <is>
          <t>MXFP4</t>
        </is>
      </c>
      <c r="B306" s="46" t="n">
        <v>128</v>
      </c>
      <c r="C306" s="46" t="n">
        <v>256</v>
      </c>
      <c r="D306" s="46" t="n">
        <v>32768</v>
      </c>
      <c r="E306" s="46" t="n">
        <v>128</v>
      </c>
      <c r="F306" s="46" t="n">
        <v>64</v>
      </c>
      <c r="G306" s="46" t="n">
        <v>512</v>
      </c>
      <c r="H306" s="46" t="n">
        <v>68</v>
      </c>
      <c r="I306" s="46" t="n">
        <v>34</v>
      </c>
      <c r="J306" s="46" t="n">
        <v>102</v>
      </c>
      <c r="K306" s="125" t="n">
        <v>435519</v>
      </c>
      <c r="L306" s="126" t="n"/>
      <c r="M306" s="127">
        <f>IF(OR(E306="",F306="",G306=""),"",((H306+I306)*1024)/(E306*F306*G306/16384))</f>
        <v/>
      </c>
      <c r="N306" s="127">
        <f>IF(OR(E306="",F306="",G306=""),"",(E306*F306*4)/(E306*F306*G306/16384))</f>
        <v/>
      </c>
      <c r="O306" s="126">
        <f>IF(AND(ISNUMBER(M306),M306&gt;0),MIN(1,128/M306),"")</f>
        <v/>
      </c>
      <c r="P306" s="126">
        <f>IF(AND(ISNUMBER(N306),N306&gt;0),MIN(1,512/N306),"")</f>
        <v/>
      </c>
      <c r="Q306" s="126">
        <f>IF(AND(ISNUMBER(O306),ISNUMBER(P306)),MIN(O306,P306),"")</f>
        <v/>
      </c>
      <c r="R306" s="127" t="n"/>
      <c r="S306" s="93" t="inlineStr">
        <is>
          <t>PASS</t>
        </is>
      </c>
      <c r="T306" t="inlineStr">
        <is>
          <t>本轮 model-main 9b3a4405 + 8参数(256KB ShareTReg) 2026-09-22</t>
        </is>
      </c>
    </row>
    <row r="307" ht="20" customHeight="1">
      <c r="A307" s="45" t="inlineStr">
        <is>
          <t>MXFP4</t>
        </is>
      </c>
      <c r="B307" s="46" t="n">
        <v>128</v>
      </c>
      <c r="C307" s="46" t="n">
        <v>256</v>
      </c>
      <c r="D307" s="46" t="n">
        <v>32768</v>
      </c>
      <c r="E307" s="46" t="n">
        <v>128</v>
      </c>
      <c r="F307" s="46" t="n">
        <v>64</v>
      </c>
      <c r="G307" s="46" t="n">
        <v>1024</v>
      </c>
      <c r="H307" s="46" t="n">
        <v>132</v>
      </c>
      <c r="I307" s="46" t="n">
        <v>66</v>
      </c>
      <c r="J307" s="46" t="n">
        <v>198</v>
      </c>
      <c r="K307" s="125" t="n">
        <v>691642</v>
      </c>
      <c r="L307" s="126" t="n"/>
      <c r="M307" s="127">
        <f>IF(OR(E307="",F307="",G307=""),"",((H307+I307)*1024)/(E307*F307*G307/16384))</f>
        <v/>
      </c>
      <c r="N307" s="127">
        <f>IF(OR(E307="",F307="",G307=""),"",(E307*F307*4)/(E307*F307*G307/16384))</f>
        <v/>
      </c>
      <c r="O307" s="126">
        <f>IF(AND(ISNUMBER(M307),M307&gt;0),MIN(1,128/M307),"")</f>
        <v/>
      </c>
      <c r="P307" s="126">
        <f>IF(AND(ISNUMBER(N307),N307&gt;0),MIN(1,512/N307),"")</f>
        <v/>
      </c>
      <c r="Q307" s="126">
        <f>IF(AND(ISNUMBER(O307),ISNUMBER(P307)),MIN(O307,P307),"")</f>
        <v/>
      </c>
      <c r="R307" s="127" t="n"/>
      <c r="S307" s="93" t="inlineStr">
        <is>
          <t>PASS</t>
        </is>
      </c>
      <c r="T307" t="inlineStr">
        <is>
          <t>本轮 model-main 9b3a4405 + 8参数(256KB ShareTReg) 2026-09-22</t>
        </is>
      </c>
    </row>
    <row r="308" ht="20" customHeight="1">
      <c r="A308" s="45" t="inlineStr">
        <is>
          <t>MXFP4</t>
        </is>
      </c>
      <c r="B308" s="46" t="n">
        <v>128</v>
      </c>
      <c r="C308" s="46" t="n">
        <v>256</v>
      </c>
      <c r="D308" s="46" t="n">
        <v>32768</v>
      </c>
      <c r="E308" s="46" t="n">
        <v>128</v>
      </c>
      <c r="F308" s="46" t="n">
        <v>128</v>
      </c>
      <c r="G308" s="46" t="n">
        <v>256</v>
      </c>
      <c r="H308" s="46" t="n">
        <v>36</v>
      </c>
      <c r="I308" s="46" t="n">
        <v>36</v>
      </c>
      <c r="J308" s="46" t="n">
        <v>72</v>
      </c>
      <c r="K308" s="125" t="n">
        <v>348317</v>
      </c>
      <c r="L308" s="126" t="n"/>
      <c r="M308" s="127">
        <f>IF(OR(E308="",F308="",G308=""),"",((H308+I308)*1024)/(E308*F308*G308/16384))</f>
        <v/>
      </c>
      <c r="N308" s="127">
        <f>IF(OR(E308="",F308="",G308=""),"",(E308*F308*4)/(E308*F308*G308/16384))</f>
        <v/>
      </c>
      <c r="O308" s="126">
        <f>IF(AND(ISNUMBER(M308),M308&gt;0),MIN(1,128/M308),"")</f>
        <v/>
      </c>
      <c r="P308" s="126">
        <f>IF(AND(ISNUMBER(N308),N308&gt;0),MIN(1,512/N308),"")</f>
        <v/>
      </c>
      <c r="Q308" s="126">
        <f>IF(AND(ISNUMBER(O308),ISNUMBER(P308)),MIN(O308,P308),"")</f>
        <v/>
      </c>
      <c r="R308" s="127" t="n"/>
      <c r="S308" s="93" t="inlineStr">
        <is>
          <t>PASS</t>
        </is>
      </c>
      <c r="T308" t="inlineStr">
        <is>
          <t>本轮 model-main 9b3a4405 + 8参数(256KB ShareTReg) 2026-09-22</t>
        </is>
      </c>
    </row>
    <row r="309" ht="20" customHeight="1">
      <c r="A309" s="45" t="inlineStr">
        <is>
          <t>MXFP4</t>
        </is>
      </c>
      <c r="B309" s="46" t="n">
        <v>128</v>
      </c>
      <c r="C309" s="46" t="n">
        <v>256</v>
      </c>
      <c r="D309" s="46" t="n">
        <v>32768</v>
      </c>
      <c r="E309" s="46" t="n">
        <v>128</v>
      </c>
      <c r="F309" s="46" t="n">
        <v>128</v>
      </c>
      <c r="G309" s="46" t="n">
        <v>512</v>
      </c>
      <c r="H309" s="46" t="n">
        <v>68</v>
      </c>
      <c r="I309" s="46" t="n">
        <v>68</v>
      </c>
      <c r="J309" s="46" t="n">
        <v>136</v>
      </c>
      <c r="K309" s="125" t="n">
        <v>356096</v>
      </c>
      <c r="L309" s="126" t="n"/>
      <c r="M309" s="127">
        <f>IF(OR(E309="",F309="",G309=""),"",((H309+I309)*1024)/(E309*F309*G309/16384))</f>
        <v/>
      </c>
      <c r="N309" s="127">
        <f>IF(OR(E309="",F309="",G309=""),"",(E309*F309*4)/(E309*F309*G309/16384))</f>
        <v/>
      </c>
      <c r="O309" s="126">
        <f>IF(AND(ISNUMBER(M309),M309&gt;0),MIN(1,128/M309),"")</f>
        <v/>
      </c>
      <c r="P309" s="126">
        <f>IF(AND(ISNUMBER(N309),N309&gt;0),MIN(1,512/N309),"")</f>
        <v/>
      </c>
      <c r="Q309" s="126">
        <f>IF(AND(ISNUMBER(O309),ISNUMBER(P309)),MIN(O309,P309),"")</f>
        <v/>
      </c>
      <c r="R309" s="127" t="n"/>
      <c r="S309" s="93" t="inlineStr">
        <is>
          <t>PASS</t>
        </is>
      </c>
      <c r="T309" t="inlineStr">
        <is>
          <t>本轮 model-main 9b3a4405 + 8参数(256KB ShareTReg) 2026-09-22</t>
        </is>
      </c>
    </row>
    <row r="310" ht="20" customHeight="1">
      <c r="A310" s="45" t="inlineStr">
        <is>
          <t>MXFP4</t>
        </is>
      </c>
      <c r="B310" s="46" t="n">
        <v>128</v>
      </c>
      <c r="C310" s="46" t="n">
        <v>256</v>
      </c>
      <c r="D310" s="46" t="n">
        <v>32768</v>
      </c>
      <c r="E310" s="46" t="n">
        <v>128</v>
      </c>
      <c r="F310" s="46" t="n">
        <v>128</v>
      </c>
      <c r="G310" s="46" t="n">
        <v>1024</v>
      </c>
      <c r="H310" s="46" t="n">
        <v>132</v>
      </c>
      <c r="I310" s="46" t="n">
        <v>132</v>
      </c>
      <c r="J310" s="46" t="n">
        <v>264</v>
      </c>
      <c r="K310" s="125" t="inlineStr">
        <is>
          <t>—</t>
        </is>
      </c>
      <c r="L310" s="126" t="n"/>
      <c r="M310" s="127">
        <f>IF(OR(E310="",F310="",G310=""),"",((H310+I310)*1024)/(E310*F310*G310/16384))</f>
        <v/>
      </c>
      <c r="N310" s="127">
        <f>IF(OR(E310="",F310="",G310=""),"",(E310*F310*4)/(E310*F310*G310/16384))</f>
        <v/>
      </c>
      <c r="O310" s="126">
        <f>IF(AND(ISNUMBER(M310),M310&gt;0),MIN(1,128/M310),"")</f>
        <v/>
      </c>
      <c r="P310" s="126">
        <f>IF(AND(ISNUMBER(N310),N310&gt;0),MIN(1,512/N310),"")</f>
        <v/>
      </c>
      <c r="Q310" s="126">
        <f>IF(AND(ISNUMBER(O310),ISNUMBER(P310)),MIN(O310,P310),"")</f>
        <v/>
      </c>
      <c r="R310" s="127" t="n"/>
      <c r="S310" s="97" t="inlineStr">
        <is>
          <t>COMPILE_FAIL</t>
        </is>
      </c>
      <c r="T310" t="inlineStr">
        <is>
          <t>容量超限：完整 SharedTile 足迹 &gt; 256 KiB；本轮 model-main 9b3a4405 + 8参数(256KB ShareTReg) 2026-09-22</t>
        </is>
      </c>
    </row>
    <row r="311" ht="20" customHeight="1">
      <c r="A311" s="45" t="inlineStr">
        <is>
          <t>MXFP4</t>
        </is>
      </c>
      <c r="B311" s="46" t="n">
        <v>128</v>
      </c>
      <c r="C311" s="46" t="n">
        <v>256</v>
      </c>
      <c r="D311" s="46" t="n">
        <v>32768</v>
      </c>
      <c r="E311" s="46" t="n">
        <v>128</v>
      </c>
      <c r="F311" s="46" t="n">
        <v>256</v>
      </c>
      <c r="G311" s="46" t="n">
        <v>256</v>
      </c>
      <c r="H311" s="46" t="n">
        <v>36</v>
      </c>
      <c r="I311" s="46" t="n">
        <v>72</v>
      </c>
      <c r="J311" s="46" t="n">
        <v>108</v>
      </c>
      <c r="K311" s="125" t="n">
        <v>262220</v>
      </c>
      <c r="L311" s="126" t="n"/>
      <c r="M311" s="127">
        <f>IF(OR(E311="",F311="",G311=""),"",((H311+I311)*1024)/(E311*F311*G311/16384))</f>
        <v/>
      </c>
      <c r="N311" s="127">
        <f>IF(OR(E311="",F311="",G311=""),"",(E311*F311*4)/(E311*F311*G311/16384))</f>
        <v/>
      </c>
      <c r="O311" s="126">
        <f>IF(AND(ISNUMBER(M311),M311&gt;0),MIN(1,128/M311),"")</f>
        <v/>
      </c>
      <c r="P311" s="126">
        <f>IF(AND(ISNUMBER(N311),N311&gt;0),MIN(1,512/N311),"")</f>
        <v/>
      </c>
      <c r="Q311" s="126">
        <f>IF(AND(ISNUMBER(O311),ISNUMBER(P311)),MIN(O311,P311),"")</f>
        <v/>
      </c>
      <c r="R311" s="127" t="n"/>
      <c r="S311" s="93" t="inlineStr">
        <is>
          <t>PASS</t>
        </is>
      </c>
      <c r="T311" t="inlineStr">
        <is>
          <t>本轮 model-main 9b3a4405 + 8参数(256KB ShareTReg) 2026-09-22</t>
        </is>
      </c>
    </row>
    <row r="312" ht="20" customHeight="1">
      <c r="A312" s="45" t="inlineStr">
        <is>
          <t>MXFP4</t>
        </is>
      </c>
      <c r="B312" s="46" t="n">
        <v>128</v>
      </c>
      <c r="C312" s="46" t="n">
        <v>256</v>
      </c>
      <c r="D312" s="46" t="n">
        <v>32768</v>
      </c>
      <c r="E312" s="46" t="n">
        <v>128</v>
      </c>
      <c r="F312" s="46" t="n">
        <v>256</v>
      </c>
      <c r="G312" s="46" t="n">
        <v>512</v>
      </c>
      <c r="H312" s="46" t="n">
        <v>68</v>
      </c>
      <c r="I312" s="46" t="n">
        <v>136</v>
      </c>
      <c r="J312" s="46" t="n">
        <v>204</v>
      </c>
      <c r="K312" s="125" t="n">
        <v>350146</v>
      </c>
      <c r="L312" s="126" t="n"/>
      <c r="M312" s="127">
        <f>IF(OR(E312="",F312="",G312=""),"",((H312+I312)*1024)/(E312*F312*G312/16384))</f>
        <v/>
      </c>
      <c r="N312" s="127">
        <f>IF(OR(E312="",F312="",G312=""),"",(E312*F312*4)/(E312*F312*G312/16384))</f>
        <v/>
      </c>
      <c r="O312" s="126">
        <f>IF(AND(ISNUMBER(M312),M312&gt;0),MIN(1,128/M312),"")</f>
        <v/>
      </c>
      <c r="P312" s="126">
        <f>IF(AND(ISNUMBER(N312),N312&gt;0),MIN(1,512/N312),"")</f>
        <v/>
      </c>
      <c r="Q312" s="126">
        <f>IF(AND(ISNUMBER(O312),ISNUMBER(P312)),MIN(O312,P312),"")</f>
        <v/>
      </c>
      <c r="R312" s="127" t="n"/>
      <c r="S312" s="93" t="inlineStr">
        <is>
          <t>PASS</t>
        </is>
      </c>
      <c r="T312" t="inlineStr">
        <is>
          <t>本轮 model-main 9b3a4405 + 8参数(256KB ShareTReg) 2026-09-22</t>
        </is>
      </c>
    </row>
    <row r="313" ht="20" customHeight="1">
      <c r="A313" s="45" t="inlineStr">
        <is>
          <t>MXFP4</t>
        </is>
      </c>
      <c r="B313" s="46" t="n">
        <v>128</v>
      </c>
      <c r="C313" s="46" t="n">
        <v>256</v>
      </c>
      <c r="D313" s="46" t="n">
        <v>32768</v>
      </c>
      <c r="E313" s="46" t="n">
        <v>128</v>
      </c>
      <c r="F313" s="46" t="n">
        <v>256</v>
      </c>
      <c r="G313" s="46" t="n">
        <v>1024</v>
      </c>
      <c r="H313" s="46" t="n">
        <v>132</v>
      </c>
      <c r="I313" s="46" t="n">
        <v>264</v>
      </c>
      <c r="J313" s="46" t="n">
        <v>396</v>
      </c>
      <c r="K313" s="125" t="inlineStr">
        <is>
          <t>—</t>
        </is>
      </c>
      <c r="L313" s="126" t="n"/>
      <c r="M313" s="127">
        <f>IF(OR(E313="",F313="",G313=""),"",((H313+I313)*1024)/(E313*F313*G313/16384))</f>
        <v/>
      </c>
      <c r="N313" s="127">
        <f>IF(OR(E313="",F313="",G313=""),"",(E313*F313*4)/(E313*F313*G313/16384))</f>
        <v/>
      </c>
      <c r="O313" s="126">
        <f>IF(AND(ISNUMBER(M313),M313&gt;0),MIN(1,128/M313),"")</f>
        <v/>
      </c>
      <c r="P313" s="126">
        <f>IF(AND(ISNUMBER(N313),N313&gt;0),MIN(1,512/N313),"")</f>
        <v/>
      </c>
      <c r="Q313" s="126">
        <f>IF(AND(ISNUMBER(O313),ISNUMBER(P313)),MIN(O313,P313),"")</f>
        <v/>
      </c>
      <c r="R313" s="127" t="n"/>
      <c r="S313" s="97" t="inlineStr">
        <is>
          <t>COMPILE_FAIL</t>
        </is>
      </c>
      <c r="T313" t="inlineStr">
        <is>
          <t>容量超限：完整 SharedTile 足迹 &gt; 256 KiB；本轮 model-main 9b3a4405 + 8参数(256KB ShareTReg) 2026-09-22</t>
        </is>
      </c>
    </row>
    <row r="314" ht="20" customHeight="1">
      <c r="A314" s="21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128" t="n"/>
      <c r="L314" s="129" t="n"/>
      <c r="M314" s="130" t="n"/>
      <c r="N314" s="130" t="n"/>
      <c r="O314" s="129" t="n"/>
      <c r="P314" s="129" t="n"/>
      <c r="Q314" s="129" t="n"/>
      <c r="R314" s="130" t="n"/>
      <c r="S314" s="23" t="n"/>
    </row>
  </sheetData>
  <mergeCells count="6">
    <mergeCell ref="A6:J6"/>
    <mergeCell ref="M6:Q6"/>
    <mergeCell ref="R6:S6"/>
    <mergeCell ref="K6:L6"/>
    <mergeCell ref="A4:S4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2026-09-22T16:03:32Z</dcterms:created>
  <dcterms:modified xsi:type="dcterms:W3CDTF">2026-09-22T16:03:32Z</dcterms:modified>
</cp:coreProperties>
</file>