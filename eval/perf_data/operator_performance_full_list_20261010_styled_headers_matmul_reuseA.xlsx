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7ec35df5349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down完整列表" sheetId="1" r:id="R8f665c5daf534bd2"/>
    <x:sheet xmlns:r="http://schemas.openxmlformats.org/officeDocument/2006/relationships" name="FA_FP8_BF16_Tk择优" sheetId="3" r:id="R62cc71e0627148b2"/>
    <x:sheet xmlns:r="http://schemas.openxmlformats.org/officeDocument/2006/relationships" name="Matmul原始数据" sheetId="4" r:id="R67538ccb302a40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.00%"/>
    <x:numFmt numFmtId="202" formatCode="#,##0"/>
    <x:numFmt numFmtId="203" formatCode="0.000"/>
    <x:numFmt numFmtId="204" formatCode="0.00&quot;x&quot;"/>
    <x:numFmt numFmtId="205" formatCode="0.0"/>
  </x:numFmts>
  <x:fonts count="33">
    <x:font>
      <x:sz val="11"/>
      <x:name val="Carlito"/>
    </x:font>
    <x:font>
      <x:b/>
      <x:sz val="14"/>
      <x:color rgb="FF17365D"/>
      <x:name val="Arial"/>
    </x:font>
    <x:font>
      <x:b/>
      <x:sz val="10"/>
      <x:color rgb="FF17365D"/>
      <x:name val="Arial"/>
    </x:font>
    <x:font>
      <x:b/>
      <x:sz val="10"/>
      <x:color rgb="FF7F6000"/>
      <x:name val="Arial"/>
    </x:font>
    <x:font>
      <x:i/>
      <x:sz val="10"/>
      <x:color rgb="FF666666"/>
      <x:name val="Arial"/>
    </x:font>
    <x:font>
      <x:b/>
      <x:sz val="10"/>
      <x:color rgb="FF375623"/>
      <x:name val="Arial"/>
    </x:font>
    <x:font>
      <x:sz val="10"/>
      <x:color rgb="FF333333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548235"/>
      <x:name val="Arial"/>
    </x:font>
    <x:font>
      <x:b/>
      <x:sz val="10"/>
      <x:color rgb="FFC00000"/>
      <x:name val="Arial"/>
    </x:font>
    <x:font>
      <x:b/>
      <x:sz val="10"/>
      <x:color rgb="FF7F7F7F"/>
      <x:name val="Arial"/>
    </x:font>
    <x:font>
      <x:b/>
      <x:sz val="10"/>
      <x:color rgb="FF333333"/>
      <x:name val="Arial"/>
    </x:font>
    <x:font>
      <x:sz val="10"/>
      <x:color rgb="FF444444"/>
      <x:name val="Arial"/>
    </x:font>
    <x:font>
      <x:sz val="10"/>
      <x:color rgb="FF222222"/>
      <x:name val="Arial"/>
    </x:font>
    <x:font>
      <x:b/>
      <x:sz val="10"/>
      <x:color rgb="FF548235"/>
      <x:name val="Arial"/>
    </x:font>
    <x:font>
      <x:b/>
      <x:sz val="10"/>
      <x:color rgb="FF222222"/>
      <x:name val="Arial"/>
    </x:font>
    <x:font>
      <x:i/>
      <x:sz val="10"/>
      <x:color rgb="FF666666"/>
      <x:name val="Arial"/>
    </x:font>
    <x:font>
      <x:b/>
      <x:i/>
      <x:sz val="10"/>
      <x:color rgb="FF7F7F7F"/>
      <x:name val="Arial"/>
    </x:font>
    <x:font>
      <x:b/>
      <x:sz val="9"/>
      <x:color rgb="FFFFFFFF"/>
      <x:name val="Arial"/>
    </x:font>
    <x:font>
      <x:sz val="10"/>
      <x:color rgb="FF333333"/>
      <x:name val="Arial"/>
    </x:font>
    <x:font>
      <x:i/>
      <x:sz val="9"/>
      <x:color rgb="FF666666"/>
      <x:name val="Arial"/>
    </x:font>
    <x:font>
      <x:b/>
      <x:sz val="10"/>
      <x:color rgb="FF9C0006"/>
      <x:name val="Arial"/>
    </x:font>
    <x:font>
      <x:sz val="11"/>
      <x:color rgb="FF222222"/>
      <x:name val="Arial"/>
    </x:font>
    <x:font>
      <x:b/>
      <x:sz val="14"/>
      <x:color rgb="FF222222"/>
      <x:name val="Arial"/>
    </x:font>
    <x:font>
      <x:i/>
      <x:sz val="10"/>
      <x:color rgb="FF222222"/>
      <x:name val="Arial"/>
    </x:font>
    <x:font>
      <x:b/>
      <x:sz val="9"/>
      <x:color rgb="FF222222"/>
      <x:name val="Arial"/>
    </x:font>
    <x:font>
      <x:sz val="9"/>
      <x:color rgb="FF222222"/>
      <x:name val="Arial"/>
    </x:font>
    <x:font>
      <x:b/>
      <x:i/>
      <x:sz val="10"/>
      <x:color rgb="FF222222"/>
      <x:name val="Arial"/>
    </x:font>
    <x:font>
      <x:i/>
      <x:sz val="9"/>
      <x:color rgb="FF222222"/>
      <x:name val="Arial"/>
    </x:font>
    <x:font>
      <x:b/>
      <x:i/>
      <x:sz val="9"/>
      <x:color rgb="FF222222"/>
      <x:name val="Arial"/>
    </x:font>
    <x:font>
      <x:b/>
      <x:sz val="9"/>
      <x:color rgb="FF375623"/>
      <x:name val="Arial"/>
    </x:font>
    <x:font>
      <x:b/>
      <x:sz val="9"/>
      <x:color rgb="FF9C0006"/>
      <x:name val="Arial"/>
    </x:font>
  </x:fonts>
  <x:fills count="4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FCE4D6"/>
      </x:patternFill>
    </x:fill>
    <x:fill>
      <x:patternFill patternType="solid">
        <x:fgColor rgb="FFEEF5FA"/>
      </x:patternFill>
    </x:fill>
    <x:fill>
      <x:patternFill patternType="solid">
        <x:fgColor rgb="FFC6E0B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E75B6"/>
      </x:patternFill>
    </x:fill>
    <x:fill>
      <x:patternFill patternType="solid">
        <x:fgColor rgb="FFC6E0B4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806000"/>
      </x:patternFill>
    </x:fill>
    <x:fill>
      <x:patternFill patternType="solid">
        <x:fgColor rgb="FFBF9000"/>
      </x:patternFill>
    </x:fill>
    <x:fill>
      <x:patternFill patternType="solid">
        <x:fgColor rgb="FF0F6B78"/>
      </x:patternFill>
    </x:fill>
    <x:fill>
      <x:patternFill patternType="solid">
        <x:fgColor rgb="FF2F9EAA"/>
      </x:patternFill>
    </x:fill>
    <x:fill>
      <x:patternFill patternType="solid">
        <x:fgColor rgb="FF5B4B8A"/>
      </x:patternFill>
    </x:fill>
    <x:fill>
      <x:patternFill patternType="solid">
        <x:fgColor rgb="FF8064A2"/>
      </x:patternFill>
    </x:fill>
    <x:fill>
      <x:patternFill patternType="solid">
        <x:fgColor rgb="FF375623"/>
      </x:patternFill>
    </x:fill>
    <x:fill>
      <x:patternFill patternType="solid">
        <x:fgColor rgb="FF70AD47"/>
      </x:patternFill>
    </x:fill>
    <x:fill>
      <x:patternFill patternType="solid">
        <x:fgColor rgb="FFFFFFFF"/>
      </x:patternFill>
    </x:fill>
    <x:fill>
      <x:patternFill patternType="solid">
        <x:fgColor rgb="FFC6E0B4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F4CCCC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C6E0B4"/>
      </x:patternFill>
    </x:fill>
    <x:fill>
      <x:patternFill patternType="solid">
        <x:fgColor rgb="FFF4CCCC"/>
      </x:patternFill>
    </x:fill>
    <x:fill>
      <x:patternFill patternType="solid">
        <x:fgColor rgb="FFE4DFEC"/>
      </x:patternFill>
    </x:fill>
  </x:fills>
  <x:borders count="17">
    <x:border>
      <x:left/>
      <x:right/>
      <x:top/>
      <x:bottom/>
      <x:diagonal/>
    </x:border>
    <x:border>
      <x:left/>
      <x:right/>
      <x:top/>
      <x:bottom style="thin">
        <x:color rgb="FF17365D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 style="thin">
        <x:color rgb="FFFFFFFF"/>
      </x:left>
      <x:right/>
      <x:top style="thin">
        <x:color rgb="FFFFFFFF"/>
      </x:top>
      <x:bottom style="thin">
        <x:color rgb="FFFFFFFF"/>
      </x:bottom>
      <x:diagonal/>
    </x:border>
    <x:border>
      <x:left/>
      <x:right/>
      <x:top style="thin">
        <x:color rgb="FFFFFFFF"/>
      </x:top>
      <x:bottom style="thin">
        <x:color rgb="FFFFFFFF"/>
      </x:bottom>
      <x:diagonal/>
    </x:border>
    <x:border>
      <x:left/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17365D"/>
      </x:left>
      <x:right/>
      <x:top style="thin">
        <x:color rgb="FF17365D"/>
      </x:top>
      <x:bottom style="thin">
        <x:color rgb="FF17365D"/>
      </x:bottom>
      <x:diagonal/>
    </x:border>
    <x:border>
      <x:left/>
      <x:right/>
      <x:top style="thin">
        <x:color rgb="FF17365D"/>
      </x:top>
      <x:bottom style="thin">
        <x:color rgb="FF17365D"/>
      </x:bottom>
      <x:diagonal/>
    </x:border>
    <x:border>
      <x:left/>
      <x:right style="thin">
        <x:color rgb="FF17365D"/>
      </x:right>
      <x:top style="thin">
        <x:color rgb="FF17365D"/>
      </x:top>
      <x:bottom style="thin">
        <x:color rgb="FF17365D"/>
      </x:bottom>
      <x:diagonal/>
    </x:border>
    <x:border>
      <x:left/>
      <x:right/>
      <x:top/>
      <x:bottom style="thin">
        <x:color rgb="FFD9EAF7"/>
      </x:bottom>
      <x:diagonal/>
    </x:border>
    <x:border>
      <x:left/>
      <x:right/>
      <x:top style="thin">
        <x:color rgb="FFD9EAF7"/>
      </x:top>
      <x:bottom style="thin">
        <x:color rgb="FFD9EAF7"/>
      </x:bottom>
      <x:diagonal/>
    </x:border>
    <x:border>
      <x:left/>
      <x:right/>
      <x:top style="thin">
        <x:color rgb="FFD9EAF7"/>
      </x:top>
      <x:bottom/>
      <x:diagonal/>
    </x:border>
    <x:border>
      <x:left/>
      <x:right/>
      <x:top style="thin">
        <x:color rgb="FFD9EAF7"/>
      </x:top>
      <x:bottom style="thin">
        <x:color rgb="FFB8C7D1"/>
      </x:bottom>
      <x:diagonal/>
    </x:border>
    <x:border>
      <x:left/>
      <x:right/>
      <x:top style="thin">
        <x:color rgb="FF17365D"/>
      </x:top>
      <x:bottom style="thin">
        <x:color rgb="FFD9EAF7"/>
      </x:bottom>
      <x:diagonal/>
    </x:border>
  </x:borders>
  <x:cellStyleXfs count="1">
    <x:xf numFmtId="0" fontId="0" fillId="0" borderId="0"/>
  </x:cellStyleXfs>
  <x:cellXfs count="1026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2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7" fillId="6" borderId="2" xfId="0" applyNumberFormat="1" applyFont="1" applyFill="1" applyBorder="1" applyAlignment="1">
      <x:alignment horizontal="center" wrapText="1"/>
    </x:xf>
    <x:xf numFmtId="0" fontId="7" fillId="6" borderId="3" xfId="0" applyNumberFormat="1" applyFont="1" applyFill="1" applyBorder="1" applyAlignment="1">
      <x:alignment horizontal="center" wrapText="1"/>
    </x:xf>
    <x:xf numFmtId="0" fontId="7" fillId="6" borderId="4" xfId="0" applyNumberFormat="1" applyFont="1" applyFill="1" applyBorder="1" applyAlignment="1">
      <x:alignment horizontal="center" wrapText="1"/>
    </x:xf>
    <x:xf numFmtId="0" fontId="7" fillId="6" borderId="2" xfId="0" applyNumberFormat="1" applyFont="1" applyFill="1" applyBorder="1" applyAlignment="1">
      <x:alignment horizontal="center" vertical="center" wrapText="1"/>
    </x:xf>
    <x:xf numFmtId="0" fontId="7" fillId="6" borderId="3" xfId="0" applyNumberFormat="1" applyFont="1" applyFill="1" applyBorder="1" applyAlignment="1">
      <x:alignment horizontal="center" vertical="center" wrapText="1"/>
    </x:xf>
    <x:xf numFmtId="0" fontId="7" fillId="6" borderId="4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200" fontId="8" fillId="2" borderId="0" xfId="0" applyNumberFormat="1" applyFont="1" applyFill="1" applyBorder="1" applyAlignment="1">
      <x:alignment vertical="center" wrapText="1"/>
    </x:xf>
    <x:xf numFmtId="200" fontId="8" fillId="3" borderId="0" xfId="0" applyNumberFormat="1" applyFont="1" applyFill="1" applyBorder="1" applyAlignment="1">
      <x:alignment vertical="center" wrapText="1"/>
    </x:xf>
    <x:xf numFmtId="200" fontId="8" fillId="4" borderId="0" xfId="0" applyNumberFormat="1" applyFont="1" applyFill="1" applyBorder="1" applyAlignment="1">
      <x:alignment vertical="center" wrapText="1"/>
    </x:xf>
    <x:xf numFmtId="200" fontId="8" fillId="7" borderId="0" xfId="0" applyNumberFormat="1" applyFont="1" applyFill="1" applyBorder="1" applyAlignment="1">
      <x:alignment vertical="center" wrapText="1"/>
    </x:xf>
    <x:xf numFmtId="201" fontId="8" fillId="2" borderId="0" xfId="0" applyNumberFormat="1" applyFont="1" applyFill="1" applyBorder="1" applyAlignment="1">
      <x:alignment vertical="center" wrapText="1"/>
    </x:xf>
    <x:xf numFmtId="201" fontId="8" fillId="3" borderId="0" xfId="0" applyNumberFormat="1" applyFont="1" applyFill="1" applyBorder="1" applyAlignment="1">
      <x:alignment vertical="center" wrapText="1"/>
    </x:xf>
    <x:xf numFmtId="201" fontId="8" fillId="4" borderId="0" xfId="0" applyNumberFormat="1" applyFont="1" applyFill="1" applyBorder="1" applyAlignment="1">
      <x:alignment vertical="center" wrapText="1"/>
    </x:xf>
    <x:xf numFmtId="201" fontId="8" fillId="7" borderId="0" xfId="0" applyNumberFormat="1" applyFont="1" applyFill="1" applyBorder="1" applyAlignment="1">
      <x:alignment vertical="center" wrapText="1"/>
    </x:xf>
    <x:xf numFmtId="202" fontId="8" fillId="2" borderId="0" xfId="0" applyNumberFormat="1" applyFont="1" applyFill="1" applyBorder="1" applyAlignment="1">
      <x:alignment vertical="center" wrapText="1"/>
    </x:xf>
    <x:xf numFmtId="202" fontId="8" fillId="3" borderId="0" xfId="0" applyNumberFormat="1" applyFont="1" applyFill="1" applyBorder="1" applyAlignment="1">
      <x:alignment vertical="center" wrapText="1"/>
    </x:xf>
    <x:xf numFmtId="202" fontId="8" fillId="4" borderId="0" xfId="0" applyNumberFormat="1" applyFont="1" applyFill="1" applyBorder="1" applyAlignment="1">
      <x:alignment vertical="center" wrapText="1"/>
    </x:xf>
    <x:xf numFmtId="202" fontId="8" fillId="7" borderId="0" xfId="0" applyNumberFormat="1" applyFont="1" applyFill="1" applyBorder="1" applyAlignment="1">
      <x:alignment vertical="center" wrapText="1"/>
    </x:xf>
    <x:xf numFmtId="203" fontId="8" fillId="2" borderId="0" xfId="0" applyNumberFormat="1" applyFont="1" applyFill="1" applyBorder="1" applyAlignment="1">
      <x:alignment vertical="center" wrapText="1"/>
    </x:xf>
    <x:xf numFmtId="203" fontId="8" fillId="3" borderId="0" xfId="0" applyNumberFormat="1" applyFont="1" applyFill="1" applyBorder="1" applyAlignment="1">
      <x:alignment vertical="center" wrapText="1"/>
    </x:xf>
    <x:xf numFmtId="203" fontId="8" fillId="4" borderId="0" xfId="0" applyNumberFormat="1" applyFont="1" applyFill="1" applyBorder="1" applyAlignment="1">
      <x:alignment vertical="center" wrapText="1"/>
    </x:xf>
    <x:xf numFmtId="203" fontId="8" fillId="7" borderId="0" xfId="0" applyNumberFormat="1" applyFont="1" applyFill="1" applyBorder="1" applyAlignment="1">
      <x:alignment vertical="center" wrapText="1"/>
    </x:xf>
    <x:xf numFmtId="204" fontId="8" fillId="2" borderId="0" xfId="0" applyNumberFormat="1" applyFont="1" applyFill="1" applyBorder="1" applyAlignment="1">
      <x:alignment vertical="center" wrapText="1"/>
    </x:xf>
    <x:xf numFmtId="204" fontId="8" fillId="3" borderId="0" xfId="0" applyNumberFormat="1" applyFont="1" applyFill="1" applyBorder="1" applyAlignment="1">
      <x:alignment vertical="center" wrapText="1"/>
    </x:xf>
    <x:xf numFmtId="204" fontId="8" fillId="4" borderId="0" xfId="0" applyNumberFormat="1" applyFont="1" applyFill="1" applyBorder="1" applyAlignment="1">
      <x:alignment vertical="center" wrapText="1"/>
    </x:xf>
    <x:xf numFmtId="204" fontId="8" fillId="7" borderId="0" xfId="0" applyNumberFormat="1" applyFont="1" applyFill="1" applyBorder="1" applyAlignment="1">
      <x:alignment vertical="center" wrapText="1"/>
    </x:xf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vertical="center" wrapText="1"/>
    </x:xf>
    <x:xf numFmtId="201" fontId="5" fillId="9" borderId="0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202" fontId="8" fillId="8" borderId="0" xfId="0" applyNumberFormat="1" applyFont="1" applyFill="1" applyBorder="1" applyAlignment="1">
      <x:alignment vertical="center" wrapText="1"/>
    </x:xf>
    <x:xf numFmtId="202" fontId="5" fillId="2" borderId="0" xfId="0" applyNumberFormat="1" applyFont="1" applyFill="1" applyBorder="1" applyAlignment="1">
      <x:alignment vertical="center" wrapText="1"/>
    </x:xf>
    <x:xf numFmtId="205" fontId="8" fillId="2" borderId="0" xfId="0" applyNumberFormat="1" applyFont="1" applyFill="1" applyBorder="1" applyAlignment="1">
      <x:alignment vertical="center" wrapText="1"/>
    </x:xf>
    <x:xf numFmtId="205" fontId="8" fillId="8" borderId="0" xfId="0" applyNumberFormat="1" applyFont="1" applyFill="1" applyBorder="1" applyAlignment="1">
      <x:alignment vertical="center" wrapText="1"/>
    </x:xf>
    <x:xf numFmtId="203" fontId="8" fillId="8" borderId="0" xfId="0" applyNumberFormat="1" applyFont="1" applyFill="1" applyBorder="1" applyAlignment="1">
      <x:alignment vertical="center" wrapText="1"/>
    </x:xf>
    <x:xf numFmtId="201" fontId="8" fillId="8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2" xfId="0" applyNumberFormat="1" applyFont="1" applyFill="1" applyBorder="1"/>
    <x:xf numFmtId="0" fontId="7" fillId="12" borderId="3" xfId="0" applyNumberFormat="1" applyFont="1" applyFill="1" applyBorder="1"/>
    <x:xf numFmtId="0" fontId="7" fillId="12" borderId="4" xfId="0" applyNumberFormat="1" applyFont="1" applyFill="1" applyBorder="1"/>
    <x:xf numFmtId="0" fontId="7" fillId="12" borderId="2" xfId="0" applyNumberFormat="1" applyFont="1" applyFill="1" applyBorder="1" applyAlignment="1">
      <x:alignment wrapText="1"/>
    </x:xf>
    <x:xf numFmtId="0" fontId="7" fillId="12" borderId="3" xfId="0" applyNumberFormat="1" applyFont="1" applyFill="1" applyBorder="1" applyAlignment="1">
      <x:alignment wrapText="1"/>
    </x:xf>
    <x:xf numFmtId="0" fontId="7" fillId="12" borderId="4" xfId="0" applyNumberFormat="1" applyFont="1" applyFill="1" applyBorder="1" applyAlignment="1">
      <x:alignment wrapText="1"/>
    </x:xf>
    <x:xf numFmtId="0" fontId="7" fillId="12" borderId="2" xfId="0" applyNumberFormat="1" applyFont="1" applyFill="1" applyBorder="1" applyAlignment="1">
      <x:alignment horizontal="center" wrapText="1"/>
    </x:xf>
    <x:xf numFmtId="0" fontId="7" fillId="12" borderId="3" xfId="0" applyNumberFormat="1" applyFont="1" applyFill="1" applyBorder="1" applyAlignment="1">
      <x:alignment horizontal="center" wrapText="1"/>
    </x:xf>
    <x:xf numFmtId="0" fontId="7" fillId="12" borderId="4" xfId="0" applyNumberFormat="1" applyFont="1" applyFill="1" applyBorder="1" applyAlignment="1">
      <x:alignment horizontal="center" wrapText="1"/>
    </x:xf>
    <x:xf numFmtId="0" fontId="7" fillId="12" borderId="2" xfId="0" applyNumberFormat="1" applyFont="1" applyFill="1" applyBorder="1" applyAlignment="1">
      <x:alignment horizontal="center" vertical="center" wrapText="1"/>
    </x:xf>
    <x:xf numFmtId="0" fontId="7" fillId="12" borderId="3" xfId="0" applyNumberFormat="1" applyFont="1" applyFill="1" applyBorder="1" applyAlignment="1">
      <x:alignment horizontal="center" vertical="center" wrapText="1"/>
    </x:xf>
    <x:xf numFmtId="0" fontId="7" fillId="12" borderId="4" xfId="0" applyNumberFormat="1" applyFont="1" applyFill="1" applyBorder="1" applyAlignment="1">
      <x:alignment horizontal="center" vertical="center" wrapText="1"/>
    </x:xf>
    <x:xf numFmtId="0" fontId="14" fillId="10" borderId="0" xfId="0" applyNumberFormat="1" applyFont="1" applyFill="1" applyBorder="1"/>
    <x:xf numFmtId="0" fontId="14" fillId="10" borderId="0" xfId="0" applyNumberFormat="1" applyFont="1" applyFill="1" applyBorder="1" applyAlignment="1">
      <x:alignment vertical="center"/>
    </x:xf>
    <x:xf numFmtId="0" fontId="15" fillId="10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16" fillId="13" borderId="0" xfId="0" applyNumberFormat="1" applyFont="1" applyFill="1" applyBorder="1"/>
    <x:xf numFmtId="0" fontId="16" fillId="13" borderId="0" xfId="0" applyNumberFormat="1" applyFont="1" applyFill="1" applyBorder="1" applyAlignment="1">
      <x:alignment vertical="center"/>
    </x:xf>
    <x:xf numFmtId="0" fontId="15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7" fillId="14" borderId="0" xfId="0" applyNumberFormat="1" applyFont="1" applyFill="1" applyBorder="1"/>
    <x:xf numFmtId="0" fontId="17" fillId="14" borderId="0" xfId="0" applyNumberFormat="1" applyFont="1" applyFill="1" applyBorder="1" applyAlignment="1">
      <x:alignment vertical="center"/>
    </x:xf>
    <x:xf numFmtId="0" fontId="18" fillId="14" borderId="0" xfId="0" applyNumberFormat="1" applyFont="1" applyFill="1" applyBorder="1" applyAlignment="1">
      <x:alignment vertical="center"/>
    </x:xf>
    <x:xf numFmtId="202" fontId="14" fillId="10" borderId="0" xfId="0" applyNumberFormat="1" applyFont="1" applyFill="1" applyBorder="1" applyAlignment="1">
      <x:alignment vertical="center"/>
    </x:xf>
    <x:xf numFmtId="202" fontId="16" fillId="13" borderId="0" xfId="0" applyNumberFormat="1" applyFont="1" applyFill="1" applyBorder="1" applyAlignment="1">
      <x:alignment vertical="center"/>
    </x:xf>
    <x:xf numFmtId="202" fontId="17" fillId="14" borderId="0" xfId="0" applyNumberFormat="1" applyFont="1" applyFill="1" applyBorder="1" applyAlignment="1">
      <x:alignment vertical="center"/>
    </x:xf>
    <x:xf numFmtId="203" fontId="14" fillId="10" borderId="0" xfId="0" applyNumberFormat="1" applyFont="1" applyFill="1" applyBorder="1" applyAlignment="1">
      <x:alignment vertical="center"/>
    </x:xf>
    <x:xf numFmtId="203" fontId="16" fillId="13" borderId="0" xfId="0" applyNumberFormat="1" applyFont="1" applyFill="1" applyBorder="1" applyAlignment="1">
      <x:alignment vertical="center"/>
    </x:xf>
    <x:xf numFmtId="203" fontId="17" fillId="14" borderId="0" xfId="0" applyNumberFormat="1" applyFont="1" applyFill="1" applyBorder="1" applyAlignment="1">
      <x:alignment vertical="center"/>
    </x:xf>
    <x:xf numFmtId="201" fontId="14" fillId="10" borderId="0" xfId="0" applyNumberFormat="1" applyFont="1" applyFill="1" applyBorder="1" applyAlignment="1">
      <x:alignment vertical="center"/>
    </x:xf>
    <x:xf numFmtId="201" fontId="16" fillId="13" borderId="0" xfId="0" applyNumberFormat="1" applyFont="1" applyFill="1" applyBorder="1" applyAlignment="1">
      <x:alignment vertical="center"/>
    </x:xf>
    <x:xf numFmtId="201" fontId="17" fillId="14" borderId="0" xfId="0" applyNumberFormat="1" applyFont="1" applyFill="1" applyBorder="1" applyAlignment="1">
      <x:alignment vertical="center"/>
    </x:xf>
    <x:xf numFmtId="202" fontId="14" fillId="10" borderId="0" xfId="0" applyNumberFormat="1" applyFont="1" applyFill="1" applyBorder="1" applyAlignment="1">
      <x:alignment horizontal="center" vertical="center"/>
    </x:xf>
    <x:xf numFmtId="203" fontId="14" fillId="10" borderId="0" xfId="0" applyNumberFormat="1" applyFont="1" applyFill="1" applyBorder="1" applyAlignment="1">
      <x:alignment horizontal="center" vertical="center"/>
    </x:xf>
    <x:xf numFmtId="201" fontId="14" fillId="10" borderId="0" xfId="0" applyNumberFormat="1" applyFont="1" applyFill="1" applyBorder="1" applyAlignment="1">
      <x:alignment horizontal="center" vertical="center"/>
    </x:xf>
    <x:xf numFmtId="0" fontId="15" fillId="10" borderId="0" xfId="0" applyNumberFormat="1" applyFont="1" applyFill="1" applyBorder="1" applyAlignment="1">
      <x:alignment horizontal="center" vertical="center"/>
    </x:xf>
    <x:xf numFmtId="202" fontId="16" fillId="13" borderId="0" xfId="0" applyNumberFormat="1" applyFont="1" applyFill="1" applyBorder="1" applyAlignment="1">
      <x:alignment horizontal="center" vertical="center"/>
    </x:xf>
    <x:xf numFmtId="203" fontId="16" fillId="13" borderId="0" xfId="0" applyNumberFormat="1" applyFont="1" applyFill="1" applyBorder="1" applyAlignment="1">
      <x:alignment horizontal="center" vertical="center"/>
    </x:xf>
    <x:xf numFmtId="201" fontId="16" fillId="13" borderId="0" xfId="0" applyNumberFormat="1" applyFont="1" applyFill="1" applyBorder="1" applyAlignment="1">
      <x:alignment horizontal="center" vertical="center"/>
    </x:xf>
    <x:xf numFmtId="0" fontId="15" fillId="13" borderId="0" xfId="0" applyNumberFormat="1" applyFont="1" applyFill="1" applyBorder="1" applyAlignment="1">
      <x:alignment horizontal="center" vertical="center"/>
    </x:xf>
    <x:xf numFmtId="202" fontId="17" fillId="14" borderId="0" xfId="0" applyNumberFormat="1" applyFont="1" applyFill="1" applyBorder="1" applyAlignment="1">
      <x:alignment horizontal="center" vertical="center"/>
    </x:xf>
    <x:xf numFmtId="203" fontId="17" fillId="14" borderId="0" xfId="0" applyNumberFormat="1" applyFont="1" applyFill="1" applyBorder="1" applyAlignment="1">
      <x:alignment horizontal="center" vertical="center"/>
    </x:xf>
    <x:xf numFmtId="201" fontId="17" fillId="14" borderId="0" xfId="0" applyNumberFormat="1" applyFont="1" applyFill="1" applyBorder="1" applyAlignment="1">
      <x:alignment horizontal="center" vertical="center"/>
    </x:xf>
    <x:xf numFmtId="0" fontId="18" fillId="14" borderId="0" xfId="0" applyNumberFormat="1" applyFont="1" applyFill="1" applyBorder="1" applyAlignment="1">
      <x:alignment horizontal="center" vertical="center"/>
    </x:xf>
    <x:xf numFmtId="0" fontId="14" fillId="10" borderId="0" xfId="0" applyNumberFormat="1" applyFont="1" applyFill="1" applyBorder="1" applyAlignment="1">
      <x:alignment vertical="center" wrapText="1"/>
    </x:xf>
    <x:xf numFmtId="0" fontId="16" fillId="13" borderId="0" xfId="0" applyNumberFormat="1" applyFont="1" applyFill="1" applyBorder="1" applyAlignment="1">
      <x:alignment vertical="center" wrapText="1"/>
    </x:xf>
    <x:xf numFmtId="0" fontId="17" fillId="14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top" wrapText="1"/>
    </x:xf>
    <x:xf numFmtId="200" fontId="8" fillId="2" borderId="0" xfId="0" applyNumberFormat="1" applyFont="1" applyFill="1" applyBorder="1" applyAlignment="1">
      <x:alignment vertical="top" wrapText="1"/>
    </x:xf>
    <x:xf numFmtId="201" fontId="8" fillId="2" borderId="0" xfId="0" applyNumberFormat="1" applyFont="1" applyFill="1" applyBorder="1" applyAlignment="1">
      <x:alignment vertical="top" wrapText="1"/>
    </x:xf>
    <x:xf numFmtId="202" fontId="8" fillId="2" borderId="0" xfId="0" applyNumberFormat="1" applyFont="1" applyFill="1" applyBorder="1" applyAlignment="1">
      <x:alignment vertical="top" wrapText="1"/>
    </x:xf>
    <x:xf numFmtId="203" fontId="8" fillId="2" borderId="0" xfId="0" applyNumberFormat="1" applyFont="1" applyFill="1" applyBorder="1" applyAlignment="1">
      <x:alignment vertical="top" wrapText="1"/>
    </x:xf>
    <x:xf numFmtId="204" fontId="8" fillId="2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200" fontId="8" fillId="3" borderId="0" xfId="0" applyNumberFormat="1" applyFont="1" applyFill="1" applyBorder="1" applyAlignment="1">
      <x:alignment vertical="top" wrapText="1"/>
    </x:xf>
    <x:xf numFmtId="201" fontId="8" fillId="3" borderId="0" xfId="0" applyNumberFormat="1" applyFont="1" applyFill="1" applyBorder="1" applyAlignment="1">
      <x:alignment vertical="top" wrapText="1"/>
    </x:xf>
    <x:xf numFmtId="202" fontId="8" fillId="3" borderId="0" xfId="0" applyNumberFormat="1" applyFont="1" applyFill="1" applyBorder="1" applyAlignment="1">
      <x:alignment vertical="top" wrapText="1"/>
    </x:xf>
    <x:xf numFmtId="203" fontId="8" fillId="3" borderId="0" xfId="0" applyNumberFormat="1" applyFont="1" applyFill="1" applyBorder="1" applyAlignment="1">
      <x:alignment vertical="top" wrapText="1"/>
    </x:xf>
    <x:xf numFmtId="204" fontId="8" fillId="3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vertical="top" wrapText="1"/>
    </x:xf>
    <x:xf numFmtId="200" fontId="8" fillId="4" borderId="0" xfId="0" applyNumberFormat="1" applyFont="1" applyFill="1" applyBorder="1" applyAlignment="1">
      <x:alignment vertical="top" wrapText="1"/>
    </x:xf>
    <x:xf numFmtId="201" fontId="8" fillId="4" borderId="0" xfId="0" applyNumberFormat="1" applyFont="1" applyFill="1" applyBorder="1" applyAlignment="1">
      <x:alignment vertical="top" wrapText="1"/>
    </x:xf>
    <x:xf numFmtId="202" fontId="8" fillId="4" borderId="0" xfId="0" applyNumberFormat="1" applyFont="1" applyFill="1" applyBorder="1" applyAlignment="1">
      <x:alignment vertical="top" wrapText="1"/>
    </x:xf>
    <x:xf numFmtId="203" fontId="8" fillId="4" borderId="0" xfId="0" applyNumberFormat="1" applyFont="1" applyFill="1" applyBorder="1" applyAlignment="1">
      <x:alignment vertical="top" wrapText="1"/>
    </x:xf>
    <x:xf numFmtId="204" fontId="8" fillId="4" borderId="0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  <x:xf numFmtId="200" fontId="8" fillId="7" borderId="0" xfId="0" applyNumberFormat="1" applyFont="1" applyFill="1" applyBorder="1" applyAlignment="1">
      <x:alignment vertical="top" wrapText="1"/>
    </x:xf>
    <x:xf numFmtId="201" fontId="8" fillId="7" borderId="0" xfId="0" applyNumberFormat="1" applyFont="1" applyFill="1" applyBorder="1" applyAlignment="1">
      <x:alignment vertical="top" wrapText="1"/>
    </x:xf>
    <x:xf numFmtId="202" fontId="8" fillId="7" borderId="0" xfId="0" applyNumberFormat="1" applyFont="1" applyFill="1" applyBorder="1" applyAlignment="1">
      <x:alignment vertical="top" wrapText="1"/>
    </x:xf>
    <x:xf numFmtId="203" fontId="8" fillId="7" borderId="0" xfId="0" applyNumberFormat="1" applyFont="1" applyFill="1" applyBorder="1" applyAlignment="1">
      <x:alignment vertical="top" wrapText="1"/>
    </x:xf>
    <x:xf numFmtId="204" fontId="8" fillId="7" borderId="0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202" fontId="8" fillId="2" borderId="0" xfId="0" applyNumberFormat="1" applyFont="1" applyFill="1" applyBorder="1" applyAlignment="1">
      <x:alignment horizontal="center" vertical="center"/>
    </x:xf>
    <x:xf numFmtId="203" fontId="8" fillId="2" borderId="0" xfId="0" applyNumberFormat="1" applyFont="1" applyFill="1" applyBorder="1" applyAlignment="1">
      <x:alignment horizontal="center" vertical="center"/>
    </x:xf>
    <x:xf numFmtId="201" fontId="8" fillId="2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center" vertical="center"/>
    </x:xf>
    <x:xf numFmtId="202" fontId="16" fillId="9" borderId="0" xfId="0" applyNumberFormat="1" applyFont="1" applyFill="1" applyBorder="1" applyAlignment="1">
      <x:alignment horizontal="center" vertical="center"/>
    </x:xf>
    <x:xf numFmtId="203" fontId="16" fillId="9" borderId="0" xfId="0" applyNumberFormat="1" applyFont="1" applyFill="1" applyBorder="1" applyAlignment="1">
      <x:alignment horizontal="center" vertical="center"/>
    </x:xf>
    <x:xf numFmtId="201" fontId="16" fillId="9" borderId="0" xfId="0" applyNumberFormat="1" applyFont="1" applyFill="1" applyBorder="1" applyAlignment="1">
      <x:alignment horizontal="center" vertical="center"/>
    </x:xf>
    <x:xf numFmtId="0" fontId="9" fillId="9" borderId="0" xfId="0" applyNumberFormat="1" applyFont="1" applyFill="1" applyBorder="1" applyAlignment="1">
      <x:alignment horizontal="center" vertical="center"/>
    </x:xf>
    <x:xf numFmtId="0" fontId="16" fillId="9" borderId="0" xfId="0" applyNumberFormat="1" applyFont="1" applyFill="1" applyBorder="1" applyAlignment="1">
      <x:alignment vertical="center" wrapText="1"/>
    </x:xf>
    <x:xf numFmtId="202" fontId="4" fillId="14" borderId="0" xfId="0" applyNumberFormat="1" applyFont="1" applyFill="1" applyBorder="1" applyAlignment="1">
      <x:alignment horizontal="center" vertical="center"/>
    </x:xf>
    <x:xf numFmtId="203" fontId="4" fillId="14" borderId="0" xfId="0" applyNumberFormat="1" applyFont="1" applyFill="1" applyBorder="1" applyAlignment="1">
      <x:alignment horizontal="center" vertical="center"/>
    </x:xf>
    <x:xf numFmtId="201" fontId="4" fillId="14" borderId="0" xfId="0" applyNumberFormat="1" applyFont="1" applyFill="1" applyBorder="1" applyAlignment="1">
      <x:alignment horizontal="center" vertical="center"/>
    </x:xf>
    <x:xf numFmtId="0" fontId="4" fillId="14" borderId="0" xfId="0" applyNumberFormat="1" applyFont="1" applyFill="1" applyBorder="1" applyAlignment="1">
      <x:alignment vertical="center" wrapText="1"/>
    </x:xf>
    <x:xf numFmtId="0" fontId="7" fillId="15" borderId="0" xfId="0" applyNumberFormat="1" applyFont="1" applyFill="1" applyBorder="1" applyAlignment="1">
      <x:alignment horizontal="center" vertical="center"/>
    </x:xf>
    <x:xf numFmtId="0" fontId="7" fillId="15" borderId="0" xfId="0" applyNumberFormat="1" applyFont="1" applyFill="1" applyBorder="1" applyAlignment="1">
      <x:alignment horizontal="center" vertical="center" wrapText="1"/>
    </x:xf>
    <x:xf numFmtId="0" fontId="7" fillId="15" borderId="5" xfId="0" applyNumberFormat="1" applyFont="1" applyFill="1" applyBorder="1" applyAlignment="1">
      <x:alignment horizontal="center" vertical="center" wrapText="1"/>
    </x:xf>
    <x:xf numFmtId="0" fontId="7" fillId="15" borderId="6" xfId="0" applyNumberFormat="1" applyFont="1" applyFill="1" applyBorder="1" applyAlignment="1">
      <x:alignment horizontal="center" vertical="center" wrapText="1"/>
    </x:xf>
    <x:xf numFmtId="0" fontId="7" fillId="15" borderId="7" xfId="0" applyNumberFormat="1" applyFont="1" applyFill="1" applyBorder="1" applyAlignment="1">
      <x:alignment horizontal="center" vertical="center" wrapText="1"/>
    </x:xf>
    <x:xf numFmtId="0" fontId="7" fillId="16" borderId="2" xfId="0" applyNumberFormat="1" applyFont="1" applyFill="1" applyBorder="1" applyAlignment="1">
      <x:alignment horizontal="center" vertical="center" wrapText="1"/>
    </x:xf>
    <x:xf numFmtId="0" fontId="7" fillId="16" borderId="3" xfId="0" applyNumberFormat="1" applyFont="1" applyFill="1" applyBorder="1" applyAlignment="1">
      <x:alignment horizontal="center" vertical="center" wrapText="1"/>
    </x:xf>
    <x:xf numFmtId="0" fontId="19" fillId="16" borderId="2" xfId="0" applyNumberFormat="1" applyFont="1" applyFill="1" applyBorder="1" applyAlignment="1">
      <x:alignment horizontal="center" vertical="center" wrapText="1"/>
    </x:xf>
    <x:xf numFmtId="0" fontId="19" fillId="16" borderId="3" xfId="0" applyNumberFormat="1" applyFont="1" applyFill="1" applyBorder="1" applyAlignment="1">
      <x:alignment horizontal="center" vertical="center" wrapText="1"/>
    </x:xf>
    <x:xf numFmtId="0" fontId="19" fillId="16" borderId="8" xfId="0" applyNumberFormat="1" applyFont="1" applyFill="1" applyBorder="1" applyAlignment="1">
      <x:alignment horizontal="center" vertical="center" wrapText="1"/>
    </x:xf>
    <x:xf numFmtId="0" fontId="7" fillId="17" borderId="0" xfId="0" applyNumberFormat="1" applyFont="1" applyFill="1" applyBorder="1" applyAlignment="1">
      <x:alignment horizontal="center" vertical="center"/>
    </x:xf>
    <x:xf numFmtId="0" fontId="7" fillId="17" borderId="0" xfId="0" applyNumberFormat="1" applyFont="1" applyFill="1" applyBorder="1" applyAlignment="1">
      <x:alignment horizontal="center" vertical="center" wrapText="1"/>
    </x:xf>
    <x:xf numFmtId="0" fontId="7" fillId="17" borderId="5" xfId="0" applyNumberFormat="1" applyFont="1" applyFill="1" applyBorder="1" applyAlignment="1">
      <x:alignment horizontal="center" vertical="center" wrapText="1"/>
    </x:xf>
    <x:xf numFmtId="0" fontId="7" fillId="17" borderId="7" xfId="0" applyNumberFormat="1" applyFont="1" applyFill="1" applyBorder="1" applyAlignment="1">
      <x:alignment horizontal="center" vertical="center" wrapText="1"/>
    </x:xf>
    <x:xf numFmtId="0" fontId="7" fillId="18" borderId="3" xfId="0" applyNumberFormat="1" applyFont="1" applyFill="1" applyBorder="1" applyAlignment="1">
      <x:alignment horizontal="center" vertical="center" wrapText="1"/>
    </x:xf>
    <x:xf numFmtId="0" fontId="19" fillId="18" borderId="3" xfId="0" applyNumberFormat="1" applyFont="1" applyFill="1" applyBorder="1" applyAlignment="1">
      <x:alignment horizontal="center" vertical="center" wrapText="1"/>
    </x:xf>
    <x:xf numFmtId="0" fontId="19" fillId="18" borderId="8" xfId="0" applyNumberFormat="1" applyFont="1" applyFill="1" applyBorder="1" applyAlignment="1">
      <x:alignment horizontal="center" vertical="center" wrapText="1"/>
    </x:xf>
    <x:xf numFmtId="0" fontId="7" fillId="19" borderId="0" xfId="0" applyNumberFormat="1" applyFont="1" applyFill="1" applyBorder="1" applyAlignment="1">
      <x:alignment horizontal="center" vertical="center"/>
    </x:xf>
    <x:xf numFmtId="0" fontId="7" fillId="19" borderId="0" xfId="0" applyNumberFormat="1" applyFont="1" applyFill="1" applyBorder="1" applyAlignment="1">
      <x:alignment horizontal="center" vertical="center" wrapText="1"/>
    </x:xf>
    <x:xf numFmtId="0" fontId="7" fillId="19" borderId="5" xfId="0" applyNumberFormat="1" applyFont="1" applyFill="1" applyBorder="1" applyAlignment="1">
      <x:alignment horizontal="center" vertical="center" wrapText="1"/>
    </x:xf>
    <x:xf numFmtId="0" fontId="7" fillId="19" borderId="6" xfId="0" applyNumberFormat="1" applyFont="1" applyFill="1" applyBorder="1" applyAlignment="1">
      <x:alignment horizontal="center" vertical="center" wrapText="1"/>
    </x:xf>
    <x:xf numFmtId="0" fontId="7" fillId="19" borderId="7" xfId="0" applyNumberFormat="1" applyFont="1" applyFill="1" applyBorder="1" applyAlignment="1">
      <x:alignment horizontal="center" vertical="center" wrapText="1"/>
    </x:xf>
    <x:xf numFmtId="0" fontId="7" fillId="20" borderId="3" xfId="0" applyNumberFormat="1" applyFont="1" applyFill="1" applyBorder="1" applyAlignment="1">
      <x:alignment horizontal="center" vertical="center" wrapText="1"/>
    </x:xf>
    <x:xf numFmtId="0" fontId="19" fillId="20" borderId="3" xfId="0" applyNumberFormat="1" applyFont="1" applyFill="1" applyBorder="1" applyAlignment="1">
      <x:alignment horizontal="center" vertical="center" wrapText="1"/>
    </x:xf>
    <x:xf numFmtId="0" fontId="19" fillId="20" borderId="8" xfId="0" applyNumberFormat="1" applyFont="1" applyFill="1" applyBorder="1" applyAlignment="1">
      <x:alignment horizontal="center" vertical="center" wrapText="1"/>
    </x:xf>
    <x:xf numFmtId="0" fontId="7" fillId="21" borderId="0" xfId="0" applyNumberFormat="1" applyFont="1" applyFill="1" applyBorder="1" applyAlignment="1">
      <x:alignment horizontal="center" vertical="center"/>
    </x:xf>
    <x:xf numFmtId="0" fontId="7" fillId="21" borderId="0" xfId="0" applyNumberFormat="1" applyFont="1" applyFill="1" applyBorder="1" applyAlignment="1">
      <x:alignment horizontal="center" vertical="center" wrapText="1"/>
    </x:xf>
    <x:xf numFmtId="0" fontId="7" fillId="21" borderId="8" xfId="0" applyNumberFormat="1" applyFont="1" applyFill="1" applyBorder="1" applyAlignment="1">
      <x:alignment horizontal="center" vertical="center" wrapText="1"/>
    </x:xf>
    <x:xf numFmtId="0" fontId="7" fillId="22" borderId="3" xfId="0" applyNumberFormat="1" applyFont="1" applyFill="1" applyBorder="1" applyAlignment="1">
      <x:alignment horizontal="center" vertical="center" wrapText="1"/>
    </x:xf>
    <x:xf numFmtId="0" fontId="19" fillId="22" borderId="3" xfId="0" applyNumberFormat="1" applyFont="1" applyFill="1" applyBorder="1" applyAlignment="1">
      <x:alignment horizontal="center" vertical="center" wrapText="1"/>
    </x:xf>
    <x:xf numFmtId="0" fontId="19" fillId="22" borderId="8" xfId="0" applyNumberFormat="1" applyFont="1" applyFill="1" applyBorder="1" applyAlignment="1">
      <x:alignment horizontal="center" vertical="center" wrapText="1"/>
    </x:xf>
    <x:xf numFmtId="0" fontId="7" fillId="23" borderId="0" xfId="0" applyNumberFormat="1" applyFont="1" applyFill="1" applyBorder="1" applyAlignment="1">
      <x:alignment horizontal="center" vertical="center"/>
    </x:xf>
    <x:xf numFmtId="0" fontId="7" fillId="23" borderId="0" xfId="0" applyNumberFormat="1" applyFont="1" applyFill="1" applyBorder="1" applyAlignment="1">
      <x:alignment horizontal="center" vertical="center" wrapText="1"/>
    </x:xf>
    <x:xf numFmtId="0" fontId="7" fillId="23" borderId="5" xfId="0" applyNumberFormat="1" applyFont="1" applyFill="1" applyBorder="1" applyAlignment="1">
      <x:alignment horizontal="center" vertical="center" wrapText="1"/>
    </x:xf>
    <x:xf numFmtId="0" fontId="7" fillId="23" borderId="6" xfId="0" applyNumberFormat="1" applyFont="1" applyFill="1" applyBorder="1" applyAlignment="1">
      <x:alignment horizontal="center" vertical="center" wrapText="1"/>
    </x:xf>
    <x:xf numFmtId="0" fontId="7" fillId="23" borderId="7" xfId="0" applyNumberFormat="1" applyFont="1" applyFill="1" applyBorder="1" applyAlignment="1">
      <x:alignment horizontal="center" vertical="center" wrapText="1"/>
    </x:xf>
    <x:xf numFmtId="0" fontId="7" fillId="24" borderId="3" xfId="0" applyNumberFormat="1" applyFont="1" applyFill="1" applyBorder="1" applyAlignment="1">
      <x:alignment horizontal="center" vertical="center" wrapText="1"/>
    </x:xf>
    <x:xf numFmtId="0" fontId="7" fillId="24" borderId="4" xfId="0" applyNumberFormat="1" applyFont="1" applyFill="1" applyBorder="1" applyAlignment="1">
      <x:alignment horizontal="center" vertical="center" wrapText="1"/>
    </x:xf>
    <x:xf numFmtId="0" fontId="19" fillId="24" borderId="3" xfId="0" applyNumberFormat="1" applyFont="1" applyFill="1" applyBorder="1" applyAlignment="1">
      <x:alignment horizontal="center" vertical="center" wrapText="1"/>
    </x:xf>
    <x:xf numFmtId="0" fontId="19" fillId="24" borderId="4" xfId="0" applyNumberFormat="1" applyFont="1" applyFill="1" applyBorder="1" applyAlignment="1">
      <x:alignment horizontal="center" vertical="center" wrapText="1"/>
    </x:xf>
    <x:xf numFmtId="0" fontId="19" fillId="24" borderId="8" xfId="0" applyNumberFormat="1" applyFont="1" applyFill="1" applyBorder="1" applyAlignment="1">
      <x:alignment horizontal="center" vertical="center" wrapText="1"/>
    </x:xf>
    <x:xf numFmtId="0" fontId="5" fillId="25" borderId="0" xfId="0" applyNumberFormat="1" applyFont="1" applyFill="1" applyBorder="1" applyAlignment="1">
      <x:alignment vertical="center"/>
    </x:xf>
    <x:xf numFmtId="0" fontId="6" fillId="25" borderId="0" xfId="0" applyNumberFormat="1" applyFont="1" applyFill="1" applyBorder="1" applyAlignment="1">
      <x:alignment vertical="center" wrapText="1"/>
    </x:xf>
    <x:xf numFmtId="0" fontId="20" fillId="25" borderId="0" xfId="0" applyNumberFormat="1" applyFont="1" applyFill="1" applyBorder="1" applyAlignment="1">
      <x:alignment vertical="center"/>
    </x:xf>
    <x:xf numFmtId="0" fontId="20" fillId="25" borderId="0" xfId="0" applyNumberFormat="1" applyFont="1" applyFill="1" applyBorder="1" applyAlignment="1">
      <x:alignment vertical="center" wrapText="1"/>
    </x:xf>
    <x:xf numFmtId="0" fontId="20" fillId="25" borderId="0" xfId="0" applyNumberFormat="1" applyFont="1" applyFill="1" applyBorder="1" applyAlignment="1">
      <x:alignment vertical="center" wrapText="0"/>
    </x:xf>
    <x:xf numFmtId="0" fontId="6" fillId="25" borderId="0" xfId="0" applyNumberFormat="1" applyFont="1" applyFill="1" applyBorder="1" applyAlignment="1">
      <x:alignment vertical="center" wrapText="0"/>
    </x:xf>
    <x:xf numFmtId="0" fontId="8" fillId="3" borderId="0" xfId="0" applyNumberFormat="1" applyFont="1" applyFill="1" applyBorder="1" applyAlignment="1">
      <x:alignment horizontal="center" vertical="center" wrapText="1"/>
    </x:xf>
    <x:xf numFmtId="200" fontId="8" fillId="3" borderId="0" xfId="0" applyNumberFormat="1" applyFont="1" applyFill="1" applyBorder="1" applyAlignment="1">
      <x:alignment horizontal="center" vertical="center" wrapText="1"/>
    </x:xf>
    <x:xf numFmtId="201" fontId="8" fillId="3" borderId="0" xfId="0" applyNumberFormat="1" applyFont="1" applyFill="1" applyBorder="1" applyAlignment="1">
      <x:alignment horizontal="center" vertical="center" wrapText="1"/>
    </x:xf>
    <x:xf numFmtId="201" fontId="8" fillId="26" borderId="0" xfId="0" applyNumberFormat="1" applyFont="1" applyFill="1" applyBorder="1" applyAlignment="1">
      <x:alignment vertical="center" wrapText="1"/>
    </x:xf>
    <x:xf numFmtId="201" fontId="5" fillId="26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top" wrapText="1"/>
    </x:xf>
    <x:xf numFmtId="0" fontId="21" fillId="0" borderId="0" xfId="0" applyNumberFormat="1" applyFont="1" applyFill="1" applyBorder="1"/>
    <x:xf numFmtId="0" fontId="0" fillId="27" borderId="0" xfId="0" applyNumberFormat="1" applyFont="1" applyFill="1" applyBorder="1"/>
    <x:xf numFmtId="0" fontId="7" fillId="27" borderId="0" xfId="0" applyNumberFormat="1" applyFont="1" applyFill="1" applyBorder="1"/>
    <x:xf numFmtId="0" fontId="7" fillId="27" borderId="9" xfId="0" applyNumberFormat="1" applyFont="1" applyFill="1" applyBorder="1"/>
    <x:xf numFmtId="0" fontId="7" fillId="27" borderId="10" xfId="0" applyNumberFormat="1" applyFont="1" applyFill="1" applyBorder="1"/>
    <x:xf numFmtId="0" fontId="7" fillId="27" borderId="11" xfId="0" applyNumberFormat="1" applyFont="1" applyFill="1" applyBorder="1"/>
    <x:xf numFmtId="0" fontId="7" fillId="27" borderId="9" xfId="0" applyNumberFormat="1" applyFont="1" applyFill="1" applyBorder="1" applyAlignment="1">
      <x:alignment horizontal="center"/>
    </x:xf>
    <x:xf numFmtId="0" fontId="7" fillId="27" borderId="10" xfId="0" applyNumberFormat="1" applyFont="1" applyFill="1" applyBorder="1" applyAlignment="1">
      <x:alignment horizontal="center"/>
    </x:xf>
    <x:xf numFmtId="0" fontId="7" fillId="27" borderId="11" xfId="0" applyNumberFormat="1" applyFont="1" applyFill="1" applyBorder="1" applyAlignment="1">
      <x:alignment horizontal="center"/>
    </x:xf>
    <x:xf numFmtId="0" fontId="7" fillId="27" borderId="9" xfId="0" applyNumberFormat="1" applyFont="1" applyFill="1" applyBorder="1" applyAlignment="1">
      <x:alignment horizontal="center" vertical="center"/>
    </x:xf>
    <x:xf numFmtId="0" fontId="7" fillId="27" borderId="10" xfId="0" applyNumberFormat="1" applyFont="1" applyFill="1" applyBorder="1" applyAlignment="1">
      <x:alignment horizontal="center" vertical="center"/>
    </x:xf>
    <x:xf numFmtId="0" fontId="7" fillId="27" borderId="11" xfId="0" applyNumberFormat="1" applyFont="1" applyFill="1" applyBorder="1" applyAlignment="1">
      <x:alignment horizontal="center" vertical="center"/>
    </x:xf>
    <x:xf numFmtId="0" fontId="0" fillId="28" borderId="0" xfId="0" applyNumberFormat="1" applyFont="1" applyFill="1" applyBorder="1"/>
    <x:xf numFmtId="0" fontId="7" fillId="28" borderId="0" xfId="0" applyNumberFormat="1" applyFont="1" applyFill="1" applyBorder="1"/>
    <x:xf numFmtId="0" fontId="7" fillId="28" borderId="8" xfId="0" applyNumberFormat="1" applyFont="1" applyFill="1" applyBorder="1"/>
    <x:xf numFmtId="0" fontId="7" fillId="28" borderId="8" xfId="0" applyNumberFormat="1" applyFont="1" applyFill="1" applyBorder="1" applyAlignment="1">
      <x:alignment wrapText="1"/>
    </x:xf>
    <x:xf numFmtId="0" fontId="7" fillId="28" borderId="8" xfId="0" applyNumberFormat="1" applyFont="1" applyFill="1" applyBorder="1" applyAlignment="1">
      <x:alignment horizontal="center" wrapText="1"/>
    </x:xf>
    <x:xf numFmtId="0" fontId="7" fillId="28" borderId="8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12" xfId="0" applyNumberFormat="1" applyFont="1" applyFill="1" applyBorder="1"/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8" fillId="0" borderId="12" xfId="0" applyNumberFormat="1" applyFont="1" applyFill="1" applyBorder="1" applyAlignment="1">
      <x:alignment vertical="center"/>
    </x:xf>
    <x:xf numFmtId="0" fontId="8" fillId="0" borderId="13" xfId="0" applyNumberFormat="1" applyFont="1" applyFill="1" applyBorder="1" applyAlignment="1">
      <x:alignment vertical="center"/>
    </x:xf>
    <x:xf numFmtId="0" fontId="8" fillId="0" borderId="14" xfId="0" applyNumberFormat="1" applyFont="1" applyFill="1" applyBorder="1" applyAlignment="1">
      <x:alignment vertical="center"/>
    </x:xf>
    <x:xf numFmtId="0" fontId="8" fillId="29" borderId="12" xfId="0" applyNumberFormat="1" applyFont="1" applyFill="1" applyBorder="1" applyAlignment="1">
      <x:alignment vertical="center"/>
    </x:xf>
    <x:xf numFmtId="0" fontId="8" fillId="29" borderId="13" xfId="0" applyNumberFormat="1" applyFont="1" applyFill="1" applyBorder="1" applyAlignment="1">
      <x:alignment vertical="center"/>
    </x:xf>
    <x:xf numFmtId="0" fontId="8" fillId="30" borderId="13" xfId="0" applyNumberFormat="1" applyFont="1" applyFill="1" applyBorder="1" applyAlignment="1">
      <x:alignment vertical="center"/>
    </x:xf>
    <x:xf numFmtId="0" fontId="8" fillId="31" borderId="13" xfId="0" applyNumberFormat="1" applyFont="1" applyFill="1" applyBorder="1" applyAlignment="1">
      <x:alignment vertical="center"/>
    </x:xf>
    <x:xf numFmtId="0" fontId="8" fillId="32" borderId="13" xfId="0" applyNumberFormat="1" applyFont="1" applyFill="1" applyBorder="1" applyAlignment="1">
      <x:alignment vertical="center"/>
    </x:xf>
    <x:xf numFmtId="0" fontId="8" fillId="33" borderId="13" xfId="0" applyNumberFormat="1" applyFont="1" applyFill="1" applyBorder="1" applyAlignment="1">
      <x:alignment vertical="center"/>
    </x:xf>
    <x:xf numFmtId="0" fontId="8" fillId="33" borderId="14" xfId="0" applyNumberFormat="1" applyFont="1" applyFill="1" applyBorder="1" applyAlignment="1">
      <x:alignment vertical="center"/>
    </x:xf>
    <x:xf numFmtId="202" fontId="8" fillId="29" borderId="12" xfId="0" applyNumberFormat="1" applyFont="1" applyFill="1" applyBorder="1" applyAlignment="1">
      <x:alignment vertical="center"/>
    </x:xf>
    <x:xf numFmtId="202" fontId="8" fillId="29" borderId="13" xfId="0" applyNumberFormat="1" applyFont="1" applyFill="1" applyBorder="1" applyAlignment="1">
      <x:alignment vertical="center"/>
    </x:xf>
    <x:xf numFmtId="202" fontId="8" fillId="30" borderId="13" xfId="0" applyNumberFormat="1" applyFont="1" applyFill="1" applyBorder="1" applyAlignment="1">
      <x:alignment vertical="center"/>
    </x:xf>
    <x:xf numFmtId="202" fontId="8" fillId="31" borderId="13" xfId="0" applyNumberFormat="1" applyFont="1" applyFill="1" applyBorder="1" applyAlignment="1">
      <x:alignment vertical="center"/>
    </x:xf>
    <x:xf numFmtId="202" fontId="8" fillId="32" borderId="13" xfId="0" applyNumberFormat="1" applyFont="1" applyFill="1" applyBorder="1" applyAlignment="1">
      <x:alignment vertical="center"/>
    </x:xf>
    <x:xf numFmtId="202" fontId="8" fillId="33" borderId="13" xfId="0" applyNumberFormat="1" applyFont="1" applyFill="1" applyBorder="1" applyAlignment="1">
      <x:alignment vertical="center"/>
    </x:xf>
    <x:xf numFmtId="202" fontId="8" fillId="33" borderId="14" xfId="0" applyNumberFormat="1" applyFont="1" applyFill="1" applyBorder="1" applyAlignment="1">
      <x:alignment vertical="center"/>
    </x:xf>
    <x:xf numFmtId="205" fontId="8" fillId="29" borderId="12" xfId="0" applyNumberFormat="1" applyFont="1" applyFill="1" applyBorder="1" applyAlignment="1">
      <x:alignment vertical="center"/>
    </x:xf>
    <x:xf numFmtId="205" fontId="8" fillId="29" borderId="13" xfId="0" applyNumberFormat="1" applyFont="1" applyFill="1" applyBorder="1" applyAlignment="1">
      <x:alignment vertical="center"/>
    </x:xf>
    <x:xf numFmtId="205" fontId="8" fillId="30" borderId="13" xfId="0" applyNumberFormat="1" applyFont="1" applyFill="1" applyBorder="1" applyAlignment="1">
      <x:alignment vertical="center"/>
    </x:xf>
    <x:xf numFmtId="205" fontId="8" fillId="31" borderId="13" xfId="0" applyNumberFormat="1" applyFont="1" applyFill="1" applyBorder="1" applyAlignment="1">
      <x:alignment vertical="center"/>
    </x:xf>
    <x:xf numFmtId="205" fontId="8" fillId="32" borderId="13" xfId="0" applyNumberFormat="1" applyFont="1" applyFill="1" applyBorder="1" applyAlignment="1">
      <x:alignment vertical="center"/>
    </x:xf>
    <x:xf numFmtId="205" fontId="8" fillId="33" borderId="13" xfId="0" applyNumberFormat="1" applyFont="1" applyFill="1" applyBorder="1" applyAlignment="1">
      <x:alignment vertical="center"/>
    </x:xf>
    <x:xf numFmtId="205" fontId="8" fillId="33" borderId="14" xfId="0" applyNumberFormat="1" applyFont="1" applyFill="1" applyBorder="1" applyAlignment="1">
      <x:alignment vertical="center"/>
    </x:xf>
    <x:xf numFmtId="203" fontId="8" fillId="29" borderId="12" xfId="0" applyNumberFormat="1" applyFont="1" applyFill="1" applyBorder="1" applyAlignment="1">
      <x:alignment vertical="center"/>
    </x:xf>
    <x:xf numFmtId="203" fontId="8" fillId="29" borderId="13" xfId="0" applyNumberFormat="1" applyFont="1" applyFill="1" applyBorder="1" applyAlignment="1">
      <x:alignment vertical="center"/>
    </x:xf>
    <x:xf numFmtId="203" fontId="8" fillId="30" borderId="13" xfId="0" applyNumberFormat="1" applyFont="1" applyFill="1" applyBorder="1" applyAlignment="1">
      <x:alignment vertical="center"/>
    </x:xf>
    <x:xf numFmtId="203" fontId="8" fillId="31" borderId="13" xfId="0" applyNumberFormat="1" applyFont="1" applyFill="1" applyBorder="1" applyAlignment="1">
      <x:alignment vertical="center"/>
    </x:xf>
    <x:xf numFmtId="203" fontId="8" fillId="32" borderId="13" xfId="0" applyNumberFormat="1" applyFont="1" applyFill="1" applyBorder="1" applyAlignment="1">
      <x:alignment vertical="center"/>
    </x:xf>
    <x:xf numFmtId="203" fontId="8" fillId="33" borderId="13" xfId="0" applyNumberFormat="1" applyFont="1" applyFill="1" applyBorder="1" applyAlignment="1">
      <x:alignment vertical="center"/>
    </x:xf>
    <x:xf numFmtId="203" fontId="8" fillId="33" borderId="14" xfId="0" applyNumberFormat="1" applyFont="1" applyFill="1" applyBorder="1" applyAlignment="1">
      <x:alignment vertical="center"/>
    </x:xf>
    <x:xf numFmtId="201" fontId="8" fillId="29" borderId="12" xfId="0" applyNumberFormat="1" applyFont="1" applyFill="1" applyBorder="1" applyAlignment="1">
      <x:alignment vertical="center"/>
    </x:xf>
    <x:xf numFmtId="201" fontId="8" fillId="29" borderId="13" xfId="0" applyNumberFormat="1" applyFont="1" applyFill="1" applyBorder="1" applyAlignment="1">
      <x:alignment vertical="center"/>
    </x:xf>
    <x:xf numFmtId="201" fontId="8" fillId="30" borderId="13" xfId="0" applyNumberFormat="1" applyFont="1" applyFill="1" applyBorder="1" applyAlignment="1">
      <x:alignment vertical="center"/>
    </x:xf>
    <x:xf numFmtId="201" fontId="8" fillId="31" borderId="13" xfId="0" applyNumberFormat="1" applyFont="1" applyFill="1" applyBorder="1" applyAlignment="1">
      <x:alignment vertical="center"/>
    </x:xf>
    <x:xf numFmtId="201" fontId="8" fillId="32" borderId="13" xfId="0" applyNumberFormat="1" applyFont="1" applyFill="1" applyBorder="1" applyAlignment="1">
      <x:alignment vertical="center"/>
    </x:xf>
    <x:xf numFmtId="201" fontId="8" fillId="33" borderId="13" xfId="0" applyNumberFormat="1" applyFont="1" applyFill="1" applyBorder="1" applyAlignment="1">
      <x:alignment vertical="center"/>
    </x:xf>
    <x:xf numFmtId="201" fontId="8" fillId="33" borderId="14" xfId="0" applyNumberFormat="1" applyFont="1" applyFill="1" applyBorder="1" applyAlignment="1">
      <x:alignment vertical="center"/>
    </x:xf>
    <x:xf numFmtId="0" fontId="8" fillId="29" borderId="12" xfId="0" applyNumberFormat="1" applyFont="1" applyFill="1" applyBorder="1" applyAlignment="1">
      <x:alignment horizontal="center" vertical="center"/>
    </x:xf>
    <x:xf numFmtId="0" fontId="8" fillId="29" borderId="13" xfId="0" applyNumberFormat="1" applyFont="1" applyFill="1" applyBorder="1" applyAlignment="1">
      <x:alignment horizontal="center" vertical="center"/>
    </x:xf>
    <x:xf numFmtId="0" fontId="8" fillId="30" borderId="13" xfId="0" applyNumberFormat="1" applyFont="1" applyFill="1" applyBorder="1" applyAlignment="1">
      <x:alignment horizontal="center" vertical="center"/>
    </x:xf>
    <x:xf numFmtId="0" fontId="8" fillId="31" borderId="13" xfId="0" applyNumberFormat="1" applyFont="1" applyFill="1" applyBorder="1" applyAlignment="1">
      <x:alignment horizontal="center" vertical="center"/>
    </x:xf>
    <x:xf numFmtId="0" fontId="8" fillId="32" borderId="13" xfId="0" applyNumberFormat="1" applyFont="1" applyFill="1" applyBorder="1" applyAlignment="1">
      <x:alignment horizontal="center" vertical="center"/>
    </x:xf>
    <x:xf numFmtId="0" fontId="8" fillId="33" borderId="13" xfId="0" applyNumberFormat="1" applyFont="1" applyFill="1" applyBorder="1" applyAlignment="1">
      <x:alignment horizontal="center" vertical="center"/>
    </x:xf>
    <x:xf numFmtId="0" fontId="8" fillId="33" borderId="14" xfId="0" applyNumberFormat="1" applyFont="1" applyFill="1" applyBorder="1" applyAlignment="1">
      <x:alignment horizontal="center" vertical="center"/>
    </x:xf>
    <x:xf numFmtId="0" fontId="8" fillId="29" borderId="12" xfId="0" applyNumberFormat="1" applyFont="1" applyFill="1" applyBorder="1" applyAlignment="1">
      <x:alignment vertical="center" wrapText="1"/>
    </x:xf>
    <x:xf numFmtId="0" fontId="8" fillId="29" borderId="13" xfId="0" applyNumberFormat="1" applyFont="1" applyFill="1" applyBorder="1" applyAlignment="1">
      <x:alignment vertical="center" wrapText="1"/>
    </x:xf>
    <x:xf numFmtId="0" fontId="8" fillId="30" borderId="13" xfId="0" applyNumberFormat="1" applyFont="1" applyFill="1" applyBorder="1" applyAlignment="1">
      <x:alignment vertical="center" wrapText="1"/>
    </x:xf>
    <x:xf numFmtId="0" fontId="8" fillId="31" borderId="13" xfId="0" applyNumberFormat="1" applyFont="1" applyFill="1" applyBorder="1" applyAlignment="1">
      <x:alignment vertical="center" wrapText="1"/>
    </x:xf>
    <x:xf numFmtId="0" fontId="8" fillId="32" borderId="13" xfId="0" applyNumberFormat="1" applyFont="1" applyFill="1" applyBorder="1" applyAlignment="1">
      <x:alignment vertical="center" wrapText="1"/>
    </x:xf>
    <x:xf numFmtId="0" fontId="8" fillId="33" borderId="13" xfId="0" applyNumberFormat="1" applyFont="1" applyFill="1" applyBorder="1" applyAlignment="1">
      <x:alignment vertical="center" wrapText="1"/>
    </x:xf>
    <x:xf numFmtId="0" fontId="8" fillId="33" borderId="14" xfId="0" applyNumberFormat="1" applyFont="1" applyFill="1" applyBorder="1" applyAlignment="1">
      <x:alignment vertical="center" wrapText="1"/>
    </x:xf>
    <x:xf numFmtId="0" fontId="8" fillId="29" borderId="12" xfId="0" applyNumberFormat="1" applyFont="1" applyFill="1" applyBorder="1" applyAlignment="1">
      <x:alignment vertical="top" wrapText="1"/>
    </x:xf>
    <x:xf numFmtId="0" fontId="8" fillId="29" borderId="13" xfId="0" applyNumberFormat="1" applyFont="1" applyFill="1" applyBorder="1" applyAlignment="1">
      <x:alignment vertical="top" wrapText="1"/>
    </x:xf>
    <x:xf numFmtId="0" fontId="8" fillId="30" borderId="13" xfId="0" applyNumberFormat="1" applyFont="1" applyFill="1" applyBorder="1" applyAlignment="1">
      <x:alignment vertical="top" wrapText="1"/>
    </x:xf>
    <x:xf numFmtId="0" fontId="8" fillId="31" borderId="13" xfId="0" applyNumberFormat="1" applyFont="1" applyFill="1" applyBorder="1" applyAlignment="1">
      <x:alignment vertical="top" wrapText="1"/>
    </x:xf>
    <x:xf numFmtId="0" fontId="8" fillId="32" borderId="13" xfId="0" applyNumberFormat="1" applyFont="1" applyFill="1" applyBorder="1" applyAlignment="1">
      <x:alignment vertical="top" wrapText="1"/>
    </x:xf>
    <x:xf numFmtId="0" fontId="8" fillId="33" borderId="13" xfId="0" applyNumberFormat="1" applyFont="1" applyFill="1" applyBorder="1" applyAlignment="1">
      <x:alignment vertical="top" wrapText="1"/>
    </x:xf>
    <x:xf numFmtId="0" fontId="8" fillId="33" borderId="14" xfId="0" applyNumberFormat="1" applyFont="1" applyFill="1" applyBorder="1" applyAlignment="1">
      <x:alignment vertical="top" wrapText="1"/>
    </x:xf>
    <x:xf numFmtId="202" fontId="5" fillId="29" borderId="12" xfId="0" applyNumberFormat="1" applyFont="1" applyFill="1" applyBorder="1" applyAlignment="1">
      <x:alignment vertical="center"/>
    </x:xf>
    <x:xf numFmtId="202" fontId="8" fillId="26" borderId="12" xfId="0" applyNumberFormat="1" applyFont="1" applyFill="1" applyBorder="1" applyAlignment="1">
      <x:alignment vertical="center"/>
    </x:xf>
    <x:xf numFmtId="203" fontId="8" fillId="26" borderId="12" xfId="0" applyNumberFormat="1" applyFont="1" applyFill="1" applyBorder="1" applyAlignment="1">
      <x:alignment vertical="center"/>
    </x:xf>
    <x:xf numFmtId="201" fontId="8" fillId="26" borderId="12" xfId="0" applyNumberFormat="1" applyFont="1" applyFill="1" applyBorder="1" applyAlignment="1">
      <x:alignment vertical="center"/>
    </x:xf>
    <x:xf numFmtId="202" fontId="5" fillId="26" borderId="12" xfId="0" applyNumberFormat="1" applyFont="1" applyFill="1" applyBorder="1" applyAlignment="1">
      <x:alignment vertical="center"/>
    </x:xf>
    <x:xf numFmtId="203" fontId="5" fillId="26" borderId="12" xfId="0" applyNumberFormat="1" applyFont="1" applyFill="1" applyBorder="1" applyAlignment="1">
      <x:alignment vertical="center"/>
    </x:xf>
    <x:xf numFmtId="201" fontId="5" fillId="26" borderId="12" xfId="0" applyNumberFormat="1" applyFont="1" applyFill="1" applyBorder="1" applyAlignment="1">
      <x:alignment vertical="center"/>
    </x:xf>
    <x:xf numFmtId="0" fontId="5" fillId="29" borderId="12" xfId="0" applyNumberFormat="1" applyFont="1" applyFill="1" applyBorder="1" applyAlignment="1">
      <x:alignment horizontal="center" vertical="center"/>
    </x:xf>
    <x:xf numFmtId="202" fontId="5" fillId="29" borderId="13" xfId="0" applyNumberFormat="1" applyFont="1" applyFill="1" applyBorder="1" applyAlignment="1">
      <x:alignment vertical="center"/>
    </x:xf>
    <x:xf numFmtId="202" fontId="8" fillId="26" borderId="13" xfId="0" applyNumberFormat="1" applyFont="1" applyFill="1" applyBorder="1" applyAlignment="1">
      <x:alignment vertical="center"/>
    </x:xf>
    <x:xf numFmtId="203" fontId="8" fillId="26" borderId="13" xfId="0" applyNumberFormat="1" applyFont="1" applyFill="1" applyBorder="1" applyAlignment="1">
      <x:alignment vertical="center"/>
    </x:xf>
    <x:xf numFmtId="201" fontId="8" fillId="26" borderId="13" xfId="0" applyNumberFormat="1" applyFont="1" applyFill="1" applyBorder="1" applyAlignment="1">
      <x:alignment vertical="center"/>
    </x:xf>
    <x:xf numFmtId="202" fontId="5" fillId="26" borderId="13" xfId="0" applyNumberFormat="1" applyFont="1" applyFill="1" applyBorder="1" applyAlignment="1">
      <x:alignment vertical="center"/>
    </x:xf>
    <x:xf numFmtId="203" fontId="5" fillId="26" borderId="13" xfId="0" applyNumberFormat="1" applyFont="1" applyFill="1" applyBorder="1" applyAlignment="1">
      <x:alignment vertical="center"/>
    </x:xf>
    <x:xf numFmtId="201" fontId="5" fillId="26" borderId="13" xfId="0" applyNumberFormat="1" applyFont="1" applyFill="1" applyBorder="1" applyAlignment="1">
      <x:alignment vertical="center"/>
    </x:xf>
    <x:xf numFmtId="0" fontId="5" fillId="29" borderId="13" xfId="0" applyNumberFormat="1" applyFont="1" applyFill="1" applyBorder="1" applyAlignment="1">
      <x:alignment horizontal="center" vertical="center"/>
    </x:xf>
    <x:xf numFmtId="202" fontId="5" fillId="30" borderId="13" xfId="0" applyNumberFormat="1" applyFont="1" applyFill="1" applyBorder="1" applyAlignment="1">
      <x:alignment vertical="center"/>
    </x:xf>
    <x:xf numFmtId="0" fontId="5" fillId="30" borderId="13" xfId="0" applyNumberFormat="1" applyFont="1" applyFill="1" applyBorder="1" applyAlignment="1">
      <x:alignment horizontal="center" vertical="center"/>
    </x:xf>
    <x:xf numFmtId="202" fontId="5" fillId="31" borderId="13" xfId="0" applyNumberFormat="1" applyFont="1" applyFill="1" applyBorder="1" applyAlignment="1">
      <x:alignment vertical="center"/>
    </x:xf>
    <x:xf numFmtId="0" fontId="5" fillId="31" borderId="13" xfId="0" applyNumberFormat="1" applyFont="1" applyFill="1" applyBorder="1" applyAlignment="1">
      <x:alignment horizontal="center" vertical="center"/>
    </x:xf>
    <x:xf numFmtId="202" fontId="5" fillId="32" borderId="13" xfId="0" applyNumberFormat="1" applyFont="1" applyFill="1" applyBorder="1" applyAlignment="1">
      <x:alignment vertical="center"/>
    </x:xf>
    <x:xf numFmtId="0" fontId="5" fillId="32" borderId="13" xfId="0" applyNumberFormat="1" applyFont="1" applyFill="1" applyBorder="1" applyAlignment="1">
      <x:alignment horizontal="center" vertical="center"/>
    </x:xf>
    <x:xf numFmtId="202" fontId="5" fillId="33" borderId="13" xfId="0" applyNumberFormat="1" applyFont="1" applyFill="1" applyBorder="1" applyAlignment="1">
      <x:alignment vertical="center"/>
    </x:xf>
    <x:xf numFmtId="0" fontId="5" fillId="33" borderId="13" xfId="0" applyNumberFormat="1" applyFont="1" applyFill="1" applyBorder="1" applyAlignment="1">
      <x:alignment horizontal="center" vertical="center"/>
    </x:xf>
    <x:xf numFmtId="0" fontId="8" fillId="34" borderId="13" xfId="0" applyNumberFormat="1" applyFont="1" applyFill="1" applyBorder="1" applyAlignment="1">
      <x:alignment horizontal="center" vertical="center"/>
    </x:xf>
    <x:xf numFmtId="0" fontId="22" fillId="34" borderId="13" xfId="0" applyNumberFormat="1" applyFont="1" applyFill="1" applyBorder="1" applyAlignment="1">
      <x:alignment horizontal="center" vertical="center"/>
    </x:xf>
    <x:xf numFmtId="0" fontId="23" fillId="0" borderId="0" xfId="0" applyNumberFormat="1" applyFont="1" applyFill="1" applyBorder="1"/>
    <x:xf numFmtId="0" fontId="24" fillId="0" borderId="1" xfId="0" applyNumberFormat="1" applyFont="1" applyFill="1" applyBorder="1"/>
    <x:xf numFmtId="0" fontId="16" fillId="2" borderId="0" xfId="0" applyNumberFormat="1" applyFont="1" applyFill="1" applyBorder="1"/>
    <x:xf numFmtId="0" fontId="16" fillId="3" borderId="0" xfId="0" applyNumberFormat="1" applyFont="1" applyFill="1" applyBorder="1"/>
    <x:xf numFmtId="0" fontId="25" fillId="0" borderId="0" xfId="0" applyNumberFormat="1" applyFont="1" applyFill="1" applyBorder="1" applyAlignment="1">
      <x:alignment wrapText="1"/>
    </x:xf>
    <x:xf numFmtId="0" fontId="8" fillId="25" borderId="0" xfId="0" applyNumberFormat="1" applyFont="1" applyFill="1" applyBorder="1" applyAlignment="1">
      <x:alignment vertical="center" wrapText="0"/>
    </x:xf>
    <x:xf numFmtId="0" fontId="16" fillId="15" borderId="5" xfId="0" applyNumberFormat="1" applyFont="1" applyFill="1" applyBorder="1" applyAlignment="1">
      <x:alignment horizontal="center" vertical="center" wrapText="1"/>
    </x:xf>
    <x:xf numFmtId="0" fontId="16" fillId="15" borderId="6" xfId="0" applyNumberFormat="1" applyFont="1" applyFill="1" applyBorder="1" applyAlignment="1">
      <x:alignment horizontal="center" vertical="center" wrapText="1"/>
    </x:xf>
    <x:xf numFmtId="0" fontId="16" fillId="15" borderId="7" xfId="0" applyNumberFormat="1" applyFont="1" applyFill="1" applyBorder="1" applyAlignment="1">
      <x:alignment horizontal="center" vertical="center" wrapText="1"/>
    </x:xf>
    <x:xf numFmtId="0" fontId="16" fillId="17" borderId="5" xfId="0" applyNumberFormat="1" applyFont="1" applyFill="1" applyBorder="1" applyAlignment="1">
      <x:alignment horizontal="center" vertical="center" wrapText="1"/>
    </x:xf>
    <x:xf numFmtId="0" fontId="16" fillId="17" borderId="7" xfId="0" applyNumberFormat="1" applyFont="1" applyFill="1" applyBorder="1" applyAlignment="1">
      <x:alignment horizontal="center" vertical="center" wrapText="1"/>
    </x:xf>
    <x:xf numFmtId="0" fontId="16" fillId="19" borderId="5" xfId="0" applyNumberFormat="1" applyFont="1" applyFill="1" applyBorder="1" applyAlignment="1">
      <x:alignment horizontal="center" vertical="center" wrapText="1"/>
    </x:xf>
    <x:xf numFmtId="0" fontId="16" fillId="19" borderId="6" xfId="0" applyNumberFormat="1" applyFont="1" applyFill="1" applyBorder="1" applyAlignment="1">
      <x:alignment horizontal="center" vertical="center" wrapText="1"/>
    </x:xf>
    <x:xf numFmtId="0" fontId="16" fillId="19" borderId="7" xfId="0" applyNumberFormat="1" applyFont="1" applyFill="1" applyBorder="1" applyAlignment="1">
      <x:alignment horizontal="center" vertical="center" wrapText="1"/>
    </x:xf>
    <x:xf numFmtId="0" fontId="16" fillId="21" borderId="8" xfId="0" applyNumberFormat="1" applyFont="1" applyFill="1" applyBorder="1" applyAlignment="1">
      <x:alignment horizontal="center" vertical="center" wrapText="1"/>
    </x:xf>
    <x:xf numFmtId="0" fontId="16" fillId="23" borderId="5" xfId="0" applyNumberFormat="1" applyFont="1" applyFill="1" applyBorder="1" applyAlignment="1">
      <x:alignment horizontal="center" vertical="center" wrapText="1"/>
    </x:xf>
    <x:xf numFmtId="0" fontId="16" fillId="23" borderId="6" xfId="0" applyNumberFormat="1" applyFont="1" applyFill="1" applyBorder="1" applyAlignment="1">
      <x:alignment horizontal="center" vertical="center" wrapText="1"/>
    </x:xf>
    <x:xf numFmtId="0" fontId="16" fillId="23" borderId="7" xfId="0" applyNumberFormat="1" applyFont="1" applyFill="1" applyBorder="1" applyAlignment="1">
      <x:alignment horizontal="center" vertical="center" wrapText="1"/>
    </x:xf>
    <x:xf numFmtId="0" fontId="26" fillId="16" borderId="8" xfId="0" applyNumberFormat="1" applyFont="1" applyFill="1" applyBorder="1" applyAlignment="1">
      <x:alignment horizontal="center" vertical="center" wrapText="1"/>
    </x:xf>
    <x:xf numFmtId="0" fontId="26" fillId="18" borderId="8" xfId="0" applyNumberFormat="1" applyFont="1" applyFill="1" applyBorder="1" applyAlignment="1">
      <x:alignment horizontal="center" vertical="center" wrapText="1"/>
    </x:xf>
    <x:xf numFmtId="0" fontId="26" fillId="20" borderId="8" xfId="0" applyNumberFormat="1" applyFont="1" applyFill="1" applyBorder="1" applyAlignment="1">
      <x:alignment horizontal="center" vertical="center" wrapText="1"/>
    </x:xf>
    <x:xf numFmtId="0" fontId="26" fillId="22" borderId="8" xfId="0" applyNumberFormat="1" applyFont="1" applyFill="1" applyBorder="1" applyAlignment="1">
      <x:alignment horizontal="center" vertical="center" wrapText="1"/>
    </x:xf>
    <x:xf numFmtId="0" fontId="26" fillId="24" borderId="8" xfId="0" applyNumberFormat="1" applyFont="1" applyFill="1" applyBorder="1" applyAlignment="1">
      <x:alignment horizontal="center" vertical="center" wrapText="1"/>
    </x:xf>
    <x:xf numFmtId="0" fontId="16" fillId="2" borderId="0" xfId="0" applyNumberFormat="1" applyFont="1" applyFill="1" applyBorder="1" applyAlignment="1">
      <x:alignment vertical="center" wrapText="1"/>
    </x:xf>
    <x:xf numFmtId="0" fontId="16" fillId="3" borderId="0" xfId="0" applyNumberFormat="1" applyFont="1" applyFill="1" applyBorder="1" applyAlignment="1">
      <x:alignment vertical="center" wrapText="1"/>
    </x:xf>
    <x:xf numFmtId="0" fontId="16" fillId="4" borderId="0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 applyAlignment="1">
      <x:alignment vertical="center" wrapText="1"/>
    </x:xf>
    <x:xf numFmtId="201" fontId="16" fillId="9" borderId="0" xfId="0" applyNumberFormat="1" applyFont="1" applyFill="1" applyBorder="1" applyAlignment="1">
      <x:alignment vertical="center" wrapText="1"/>
    </x:xf>
    <x:xf numFmtId="0" fontId="16" fillId="3" borderId="0" xfId="0" applyNumberFormat="1" applyFont="1" applyFill="1" applyBorder="1" applyAlignment="1">
      <x:alignment vertical="top" wrapText="1"/>
    </x:xf>
    <x:xf numFmtId="0" fontId="16" fillId="2" borderId="0" xfId="0" applyNumberFormat="1" applyFont="1" applyFill="1" applyBorder="1" applyAlignment="1">
      <x:alignment vertical="top" wrapText="1"/>
    </x:xf>
    <x:xf numFmtId="0" fontId="16" fillId="4" borderId="0" xfId="0" applyNumberFormat="1" applyFont="1" applyFill="1" applyBorder="1" applyAlignment="1">
      <x:alignment vertical="top" wrapText="1"/>
    </x:xf>
    <x:xf numFmtId="0" fontId="16" fillId="7" borderId="0" xfId="0" applyNumberFormat="1" applyFont="1" applyFill="1" applyBorder="1" applyAlignment="1">
      <x:alignment vertical="top" wrapText="1"/>
    </x:xf>
    <x:xf numFmtId="0" fontId="27" fillId="2" borderId="0" xfId="0" applyNumberFormat="1" applyFont="1" applyFill="1" applyBorder="1" applyAlignment="1">
      <x:alignment vertical="center" wrapText="1"/>
    </x:xf>
    <x:xf numFmtId="200" fontId="27" fillId="2" borderId="0" xfId="0" applyNumberFormat="1" applyFont="1" applyFill="1" applyBorder="1" applyAlignment="1">
      <x:alignment vertical="center" wrapText="1"/>
    </x:xf>
    <x:xf numFmtId="201" fontId="27" fillId="2" borderId="0" xfId="0" applyNumberFormat="1" applyFont="1" applyFill="1" applyBorder="1" applyAlignment="1">
      <x:alignment vertical="center" wrapText="1"/>
    </x:xf>
    <x:xf numFmtId="202" fontId="27" fillId="2" borderId="0" xfId="0" applyNumberFormat="1" applyFont="1" applyFill="1" applyBorder="1" applyAlignment="1">
      <x:alignment vertical="center" wrapText="1"/>
    </x:xf>
    <x:xf numFmtId="203" fontId="27" fillId="2" borderId="0" xfId="0" applyNumberFormat="1" applyFont="1" applyFill="1" applyBorder="1" applyAlignment="1">
      <x:alignment vertical="center" wrapText="1"/>
    </x:xf>
    <x:xf numFmtId="204" fontId="27" fillId="2" borderId="0" xfId="0" applyNumberFormat="1" applyFont="1" applyFill="1" applyBorder="1" applyAlignment="1">
      <x:alignment vertical="center" wrapText="1"/>
    </x:xf>
    <x:xf numFmtId="0" fontId="26" fillId="2" borderId="0" xfId="0" applyNumberFormat="1" applyFont="1" applyFill="1" applyBorder="1" applyAlignment="1">
      <x:alignment vertical="center" wrapText="1"/>
    </x:xf>
    <x:xf numFmtId="0" fontId="27" fillId="2" borderId="0" xfId="0" applyNumberFormat="1" applyFont="1" applyFill="1" applyBorder="1" applyAlignment="1">
      <x:alignment vertical="top" wrapText="1"/>
    </x:xf>
    <x:xf numFmtId="0" fontId="27" fillId="3" borderId="0" xfId="0" applyNumberFormat="1" applyFont="1" applyFill="1" applyBorder="1" applyAlignment="1">
      <x:alignment vertical="center" wrapText="1"/>
    </x:xf>
    <x:xf numFmtId="200" fontId="27" fillId="3" borderId="0" xfId="0" applyNumberFormat="1" applyFont="1" applyFill="1" applyBorder="1" applyAlignment="1">
      <x:alignment vertical="center" wrapText="1"/>
    </x:xf>
    <x:xf numFmtId="201" fontId="27" fillId="3" borderId="0" xfId="0" applyNumberFormat="1" applyFont="1" applyFill="1" applyBorder="1" applyAlignment="1">
      <x:alignment vertical="center" wrapText="1"/>
    </x:xf>
    <x:xf numFmtId="202" fontId="27" fillId="3" borderId="0" xfId="0" applyNumberFormat="1" applyFont="1" applyFill="1" applyBorder="1" applyAlignment="1">
      <x:alignment vertical="center" wrapText="1"/>
    </x:xf>
    <x:xf numFmtId="203" fontId="27" fillId="3" borderId="0" xfId="0" applyNumberFormat="1" applyFont="1" applyFill="1" applyBorder="1" applyAlignment="1">
      <x:alignment vertical="center" wrapText="1"/>
    </x:xf>
    <x:xf numFmtId="204" fontId="27" fillId="3" borderId="0" xfId="0" applyNumberFormat="1" applyFont="1" applyFill="1" applyBorder="1" applyAlignment="1">
      <x:alignment vertical="center" wrapText="1"/>
    </x:xf>
    <x:xf numFmtId="0" fontId="26" fillId="3" borderId="0" xfId="0" applyNumberFormat="1" applyFont="1" applyFill="1" applyBorder="1" applyAlignment="1">
      <x:alignment vertical="center" wrapText="1"/>
    </x:xf>
    <x:xf numFmtId="0" fontId="27" fillId="3" borderId="0" xfId="0" applyNumberFormat="1" applyFont="1" applyFill="1" applyBorder="1" applyAlignment="1">
      <x:alignment vertical="top" wrapText="1"/>
    </x:xf>
    <x:xf numFmtId="0" fontId="27" fillId="4" borderId="0" xfId="0" applyNumberFormat="1" applyFont="1" applyFill="1" applyBorder="1" applyAlignment="1">
      <x:alignment vertical="center" wrapText="1"/>
    </x:xf>
    <x:xf numFmtId="200" fontId="27" fillId="4" borderId="0" xfId="0" applyNumberFormat="1" applyFont="1" applyFill="1" applyBorder="1" applyAlignment="1">
      <x:alignment vertical="center" wrapText="1"/>
    </x:xf>
    <x:xf numFmtId="201" fontId="27" fillId="4" borderId="0" xfId="0" applyNumberFormat="1" applyFont="1" applyFill="1" applyBorder="1" applyAlignment="1">
      <x:alignment vertical="center" wrapText="1"/>
    </x:xf>
    <x:xf numFmtId="202" fontId="27" fillId="4" borderId="0" xfId="0" applyNumberFormat="1" applyFont="1" applyFill="1" applyBorder="1" applyAlignment="1">
      <x:alignment vertical="center" wrapText="1"/>
    </x:xf>
    <x:xf numFmtId="203" fontId="27" fillId="4" borderId="0" xfId="0" applyNumberFormat="1" applyFont="1" applyFill="1" applyBorder="1" applyAlignment="1">
      <x:alignment vertical="center" wrapText="1"/>
    </x:xf>
    <x:xf numFmtId="204" fontId="27" fillId="4" borderId="0" xfId="0" applyNumberFormat="1" applyFont="1" applyFill="1" applyBorder="1" applyAlignment="1">
      <x:alignment vertical="center" wrapText="1"/>
    </x:xf>
    <x:xf numFmtId="0" fontId="26" fillId="4" borderId="0" xfId="0" applyNumberFormat="1" applyFont="1" applyFill="1" applyBorder="1" applyAlignment="1">
      <x:alignment vertical="center" wrapText="1"/>
    </x:xf>
    <x:xf numFmtId="0" fontId="27" fillId="4" borderId="0" xfId="0" applyNumberFormat="1" applyFont="1" applyFill="1" applyBorder="1" applyAlignment="1">
      <x:alignment vertical="top" wrapText="1"/>
    </x:xf>
    <x:xf numFmtId="0" fontId="27" fillId="7" borderId="0" xfId="0" applyNumberFormat="1" applyFont="1" applyFill="1" applyBorder="1" applyAlignment="1">
      <x:alignment vertical="center" wrapText="1"/>
    </x:xf>
    <x:xf numFmtId="200" fontId="27" fillId="7" borderId="0" xfId="0" applyNumberFormat="1" applyFont="1" applyFill="1" applyBorder="1" applyAlignment="1">
      <x:alignment vertical="center" wrapText="1"/>
    </x:xf>
    <x:xf numFmtId="201" fontId="27" fillId="7" borderId="0" xfId="0" applyNumberFormat="1" applyFont="1" applyFill="1" applyBorder="1" applyAlignment="1">
      <x:alignment vertical="center" wrapText="1"/>
    </x:xf>
    <x:xf numFmtId="202" fontId="27" fillId="7" borderId="0" xfId="0" applyNumberFormat="1" applyFont="1" applyFill="1" applyBorder="1" applyAlignment="1">
      <x:alignment vertical="center" wrapText="1"/>
    </x:xf>
    <x:xf numFmtId="203" fontId="27" fillId="7" borderId="0" xfId="0" applyNumberFormat="1" applyFont="1" applyFill="1" applyBorder="1" applyAlignment="1">
      <x:alignment vertical="center" wrapText="1"/>
    </x:xf>
    <x:xf numFmtId="204" fontId="27" fillId="7" borderId="0" xfId="0" applyNumberFormat="1" applyFont="1" applyFill="1" applyBorder="1" applyAlignment="1">
      <x:alignment vertical="center" wrapText="1"/>
    </x:xf>
    <x:xf numFmtId="0" fontId="26" fillId="7" borderId="0" xfId="0" applyNumberFormat="1" applyFont="1" applyFill="1" applyBorder="1" applyAlignment="1">
      <x:alignment vertical="center" wrapText="1"/>
    </x:xf>
    <x:xf numFmtId="0" fontId="27" fillId="7" borderId="0" xfId="0" applyNumberFormat="1" applyFont="1" applyFill="1" applyBorder="1" applyAlignment="1">
      <x:alignment vertical="top" wrapText="1"/>
    </x:xf>
    <x:xf numFmtId="0" fontId="27" fillId="3" borderId="0" xfId="0" applyNumberFormat="1" applyFont="1" applyFill="1" applyBorder="1" applyAlignment="1">
      <x:alignment horizontal="center" vertical="center" wrapText="1"/>
    </x:xf>
    <x:xf numFmtId="200" fontId="27" fillId="3" borderId="0" xfId="0" applyNumberFormat="1" applyFont="1" applyFill="1" applyBorder="1" applyAlignment="1">
      <x:alignment horizontal="center" vertical="center" wrapText="1"/>
    </x:xf>
    <x:xf numFmtId="201" fontId="27" fillId="3" borderId="0" xfId="0" applyNumberFormat="1" applyFont="1" applyFill="1" applyBorder="1" applyAlignment="1">
      <x:alignment horizontal="center" vertical="center" wrapText="1"/>
    </x:xf>
    <x:xf numFmtId="201" fontId="26" fillId="9" borderId="0" xfId="0" applyNumberFormat="1" applyFont="1" applyFill="1" applyBorder="1" applyAlignment="1">
      <x:alignment vertical="center" wrapText="1"/>
    </x:xf>
    <x:xf numFmtId="0" fontId="26" fillId="3" borderId="0" xfId="0" applyNumberFormat="1" applyFont="1" applyFill="1" applyBorder="1" applyAlignment="1">
      <x:alignment vertical="top" wrapText="1"/>
    </x:xf>
    <x:xf numFmtId="0" fontId="26" fillId="2" borderId="0" xfId="0" applyNumberFormat="1" applyFont="1" applyFill="1" applyBorder="1" applyAlignment="1">
      <x:alignment vertical="top" wrapText="1"/>
    </x:xf>
    <x:xf numFmtId="0" fontId="26" fillId="4" borderId="0" xfId="0" applyNumberFormat="1" applyFont="1" applyFill="1" applyBorder="1" applyAlignment="1">
      <x:alignment vertical="top" wrapText="1"/>
    </x:xf>
    <x:xf numFmtId="0" fontId="26" fillId="7" borderId="0" xfId="0" applyNumberFormat="1" applyFont="1" applyFill="1" applyBorder="1" applyAlignment="1">
      <x:alignment vertical="top" wrapText="1"/>
    </x:xf>
    <x:xf numFmtId="0" fontId="7" fillId="16" borderId="8" xfId="0" applyNumberFormat="1" applyFont="1" applyFill="1" applyBorder="1" applyAlignment="1">
      <x:alignment horizontal="center" vertical="center" wrapText="1"/>
    </x:xf>
    <x:xf numFmtId="0" fontId="7" fillId="18" borderId="8" xfId="0" applyNumberFormat="1" applyFont="1" applyFill="1" applyBorder="1" applyAlignment="1">
      <x:alignment horizontal="center" vertical="center" wrapText="1"/>
    </x:xf>
    <x:xf numFmtId="0" fontId="7" fillId="20" borderId="8" xfId="0" applyNumberFormat="1" applyFont="1" applyFill="1" applyBorder="1" applyAlignment="1">
      <x:alignment horizontal="center" vertical="center" wrapText="1"/>
    </x:xf>
    <x:xf numFmtId="0" fontId="7" fillId="22" borderId="8" xfId="0" applyNumberFormat="1" applyFont="1" applyFill="1" applyBorder="1" applyAlignment="1">
      <x:alignment horizontal="center" vertical="center" wrapText="1"/>
    </x:xf>
    <x:xf numFmtId="0" fontId="7" fillId="24" borderId="8" xfId="0" applyNumberFormat="1" applyFont="1" applyFill="1" applyBorder="1" applyAlignment="1">
      <x:alignment horizontal="center" vertical="center" wrapText="1"/>
    </x:xf>
    <x:xf numFmtId="0" fontId="27" fillId="2" borderId="12" xfId="0" applyNumberFormat="1" applyFont="1" applyFill="1" applyBorder="1" applyAlignment="1">
      <x:alignment vertical="center" wrapText="1"/>
    </x:xf>
    <x:xf numFmtId="200" fontId="27" fillId="2" borderId="12" xfId="0" applyNumberFormat="1" applyFont="1" applyFill="1" applyBorder="1" applyAlignment="1">
      <x:alignment vertical="center" wrapText="1"/>
    </x:xf>
    <x:xf numFmtId="201" fontId="27" fillId="2" borderId="12" xfId="0" applyNumberFormat="1" applyFont="1" applyFill="1" applyBorder="1" applyAlignment="1">
      <x:alignment vertical="center" wrapText="1"/>
    </x:xf>
    <x:xf numFmtId="202" fontId="27" fillId="2" borderId="12" xfId="0" applyNumberFormat="1" applyFont="1" applyFill="1" applyBorder="1" applyAlignment="1">
      <x:alignment vertical="center" wrapText="1"/>
    </x:xf>
    <x:xf numFmtId="203" fontId="27" fillId="2" borderId="12" xfId="0" applyNumberFormat="1" applyFont="1" applyFill="1" applyBorder="1" applyAlignment="1">
      <x:alignment vertical="center" wrapText="1"/>
    </x:xf>
    <x:xf numFmtId="204" fontId="27" fillId="2" borderId="12" xfId="0" applyNumberFormat="1" applyFont="1" applyFill="1" applyBorder="1" applyAlignment="1">
      <x:alignment vertical="center" wrapText="1"/>
    </x:xf>
    <x:xf numFmtId="0" fontId="26" fillId="2" borderId="12" xfId="0" applyNumberFormat="1" applyFont="1" applyFill="1" applyBorder="1" applyAlignment="1">
      <x:alignment vertical="center" wrapText="1"/>
    </x:xf>
    <x:xf numFmtId="0" fontId="27" fillId="2" borderId="12" xfId="0" applyNumberFormat="1" applyFont="1" applyFill="1" applyBorder="1" applyAlignment="1">
      <x:alignment vertical="top" wrapText="1"/>
    </x:xf>
    <x:xf numFmtId="0" fontId="27" fillId="2" borderId="13" xfId="0" applyNumberFormat="1" applyFont="1" applyFill="1" applyBorder="1" applyAlignment="1">
      <x:alignment vertical="center" wrapText="1"/>
    </x:xf>
    <x:xf numFmtId="200" fontId="27" fillId="2" borderId="13" xfId="0" applyNumberFormat="1" applyFont="1" applyFill="1" applyBorder="1" applyAlignment="1">
      <x:alignment vertical="center" wrapText="1"/>
    </x:xf>
    <x:xf numFmtId="201" fontId="27" fillId="2" borderId="13" xfId="0" applyNumberFormat="1" applyFont="1" applyFill="1" applyBorder="1" applyAlignment="1">
      <x:alignment vertical="center" wrapText="1"/>
    </x:xf>
    <x:xf numFmtId="202" fontId="27" fillId="2" borderId="13" xfId="0" applyNumberFormat="1" applyFont="1" applyFill="1" applyBorder="1" applyAlignment="1">
      <x:alignment vertical="center" wrapText="1"/>
    </x:xf>
    <x:xf numFmtId="203" fontId="27" fillId="2" borderId="13" xfId="0" applyNumberFormat="1" applyFont="1" applyFill="1" applyBorder="1" applyAlignment="1">
      <x:alignment vertical="center" wrapText="1"/>
    </x:xf>
    <x:xf numFmtId="204" fontId="27" fillId="2" borderId="13" xfId="0" applyNumberFormat="1" applyFont="1" applyFill="1" applyBorder="1" applyAlignment="1">
      <x:alignment vertical="center" wrapText="1"/>
    </x:xf>
    <x:xf numFmtId="0" fontId="26" fillId="2" borderId="13" xfId="0" applyNumberFormat="1" applyFont="1" applyFill="1" applyBorder="1" applyAlignment="1">
      <x:alignment vertical="center" wrapText="1"/>
    </x:xf>
    <x:xf numFmtId="0" fontId="27" fillId="2" borderId="13" xfId="0" applyNumberFormat="1" applyFont="1" applyFill="1" applyBorder="1" applyAlignment="1">
      <x:alignment vertical="top" wrapText="1"/>
    </x:xf>
    <x:xf numFmtId="0" fontId="27" fillId="3" borderId="13" xfId="0" applyNumberFormat="1" applyFont="1" applyFill="1" applyBorder="1" applyAlignment="1">
      <x:alignment vertical="center" wrapText="1"/>
    </x:xf>
    <x:xf numFmtId="200" fontId="27" fillId="3" borderId="13" xfId="0" applyNumberFormat="1" applyFont="1" applyFill="1" applyBorder="1" applyAlignment="1">
      <x:alignment vertical="center" wrapText="1"/>
    </x:xf>
    <x:xf numFmtId="201" fontId="27" fillId="3" borderId="13" xfId="0" applyNumberFormat="1" applyFont="1" applyFill="1" applyBorder="1" applyAlignment="1">
      <x:alignment vertical="center" wrapText="1"/>
    </x:xf>
    <x:xf numFmtId="202" fontId="27" fillId="3" borderId="13" xfId="0" applyNumberFormat="1" applyFont="1" applyFill="1" applyBorder="1" applyAlignment="1">
      <x:alignment vertical="center" wrapText="1"/>
    </x:xf>
    <x:xf numFmtId="203" fontId="27" fillId="3" borderId="13" xfId="0" applyNumberFormat="1" applyFont="1" applyFill="1" applyBorder="1" applyAlignment="1">
      <x:alignment vertical="center" wrapText="1"/>
    </x:xf>
    <x:xf numFmtId="204" fontId="27" fillId="3" borderId="13" xfId="0" applyNumberFormat="1" applyFont="1" applyFill="1" applyBorder="1" applyAlignment="1">
      <x:alignment vertical="center" wrapText="1"/>
    </x:xf>
    <x:xf numFmtId="0" fontId="26" fillId="3" borderId="13" xfId="0" applyNumberFormat="1" applyFont="1" applyFill="1" applyBorder="1" applyAlignment="1">
      <x:alignment vertical="center" wrapText="1"/>
    </x:xf>
    <x:xf numFmtId="0" fontId="27" fillId="3" borderId="13" xfId="0" applyNumberFormat="1" applyFont="1" applyFill="1" applyBorder="1" applyAlignment="1">
      <x:alignment vertical="top" wrapText="1"/>
    </x:xf>
    <x:xf numFmtId="0" fontId="27" fillId="4" borderId="13" xfId="0" applyNumberFormat="1" applyFont="1" applyFill="1" applyBorder="1" applyAlignment="1">
      <x:alignment vertical="center" wrapText="1"/>
    </x:xf>
    <x:xf numFmtId="200" fontId="27" fillId="4" borderId="13" xfId="0" applyNumberFormat="1" applyFont="1" applyFill="1" applyBorder="1" applyAlignment="1">
      <x:alignment vertical="center" wrapText="1"/>
    </x:xf>
    <x:xf numFmtId="201" fontId="27" fillId="4" borderId="13" xfId="0" applyNumberFormat="1" applyFont="1" applyFill="1" applyBorder="1" applyAlignment="1">
      <x:alignment vertical="center" wrapText="1"/>
    </x:xf>
    <x:xf numFmtId="202" fontId="27" fillId="4" borderId="13" xfId="0" applyNumberFormat="1" applyFont="1" applyFill="1" applyBorder="1" applyAlignment="1">
      <x:alignment vertical="center" wrapText="1"/>
    </x:xf>
    <x:xf numFmtId="203" fontId="27" fillId="4" borderId="13" xfId="0" applyNumberFormat="1" applyFont="1" applyFill="1" applyBorder="1" applyAlignment="1">
      <x:alignment vertical="center" wrapText="1"/>
    </x:xf>
    <x:xf numFmtId="204" fontId="27" fillId="4" borderId="13" xfId="0" applyNumberFormat="1" applyFont="1" applyFill="1" applyBorder="1" applyAlignment="1">
      <x:alignment vertical="center" wrapText="1"/>
    </x:xf>
    <x:xf numFmtId="0" fontId="26" fillId="4" borderId="13" xfId="0" applyNumberFormat="1" applyFont="1" applyFill="1" applyBorder="1" applyAlignment="1">
      <x:alignment vertical="center" wrapText="1"/>
    </x:xf>
    <x:xf numFmtId="0" fontId="27" fillId="4" borderId="13" xfId="0" applyNumberFormat="1" applyFont="1" applyFill="1" applyBorder="1" applyAlignment="1">
      <x:alignment vertical="top" wrapText="1"/>
    </x:xf>
    <x:xf numFmtId="0" fontId="27" fillId="7" borderId="13" xfId="0" applyNumberFormat="1" applyFont="1" applyFill="1" applyBorder="1" applyAlignment="1">
      <x:alignment vertical="center" wrapText="1"/>
    </x:xf>
    <x:xf numFmtId="200" fontId="27" fillId="7" borderId="13" xfId="0" applyNumberFormat="1" applyFont="1" applyFill="1" applyBorder="1" applyAlignment="1">
      <x:alignment vertical="center" wrapText="1"/>
    </x:xf>
    <x:xf numFmtId="201" fontId="27" fillId="7" borderId="13" xfId="0" applyNumberFormat="1" applyFont="1" applyFill="1" applyBorder="1" applyAlignment="1">
      <x:alignment vertical="center" wrapText="1"/>
    </x:xf>
    <x:xf numFmtId="202" fontId="27" fillId="7" borderId="13" xfId="0" applyNumberFormat="1" applyFont="1" applyFill="1" applyBorder="1" applyAlignment="1">
      <x:alignment vertical="center" wrapText="1"/>
    </x:xf>
    <x:xf numFmtId="203" fontId="27" fillId="7" borderId="13" xfId="0" applyNumberFormat="1" applyFont="1" applyFill="1" applyBorder="1" applyAlignment="1">
      <x:alignment vertical="center" wrapText="1"/>
    </x:xf>
    <x:xf numFmtId="204" fontId="27" fillId="7" borderId="13" xfId="0" applyNumberFormat="1" applyFont="1" applyFill="1" applyBorder="1" applyAlignment="1">
      <x:alignment vertical="center" wrapText="1"/>
    </x:xf>
    <x:xf numFmtId="0" fontId="26" fillId="7" borderId="13" xfId="0" applyNumberFormat="1" applyFont="1" applyFill="1" applyBorder="1" applyAlignment="1">
      <x:alignment vertical="center" wrapText="1"/>
    </x:xf>
    <x:xf numFmtId="0" fontId="27" fillId="7" borderId="13" xfId="0" applyNumberFormat="1" applyFont="1" applyFill="1" applyBorder="1" applyAlignment="1">
      <x:alignment vertical="top" wrapText="1"/>
    </x:xf>
    <x:xf numFmtId="0" fontId="27" fillId="3" borderId="13" xfId="0" applyNumberFormat="1" applyFont="1" applyFill="1" applyBorder="1" applyAlignment="1">
      <x:alignment horizontal="center" vertical="center" wrapText="1"/>
    </x:xf>
    <x:xf numFmtId="200" fontId="27" fillId="3" borderId="13" xfId="0" applyNumberFormat="1" applyFont="1" applyFill="1" applyBorder="1" applyAlignment="1">
      <x:alignment horizontal="center" vertical="center" wrapText="1"/>
    </x:xf>
    <x:xf numFmtId="201" fontId="27" fillId="3" borderId="13" xfId="0" applyNumberFormat="1" applyFont="1" applyFill="1" applyBorder="1" applyAlignment="1">
      <x:alignment horizontal="center" vertical="center" wrapText="1"/>
    </x:xf>
    <x:xf numFmtId="201" fontId="26" fillId="9" borderId="13" xfId="0" applyNumberFormat="1" applyFont="1" applyFill="1" applyBorder="1" applyAlignment="1">
      <x:alignment vertical="center" wrapText="1"/>
    </x:xf>
    <x:xf numFmtId="0" fontId="26" fillId="3" borderId="13" xfId="0" applyNumberFormat="1" applyFont="1" applyFill="1" applyBorder="1" applyAlignment="1">
      <x:alignment vertical="top" wrapText="1"/>
    </x:xf>
    <x:xf numFmtId="0" fontId="26" fillId="2" borderId="13" xfId="0" applyNumberFormat="1" applyFont="1" applyFill="1" applyBorder="1" applyAlignment="1">
      <x:alignment vertical="top" wrapText="1"/>
    </x:xf>
    <x:xf numFmtId="0" fontId="26" fillId="4" borderId="13" xfId="0" applyNumberFormat="1" applyFont="1" applyFill="1" applyBorder="1" applyAlignment="1">
      <x:alignment vertical="top" wrapText="1"/>
    </x:xf>
    <x:xf numFmtId="0" fontId="26" fillId="7" borderId="13" xfId="0" applyNumberFormat="1" applyFont="1" applyFill="1" applyBorder="1" applyAlignment="1">
      <x:alignment vertical="top" wrapText="1"/>
    </x:xf>
    <x:xf numFmtId="0" fontId="27" fillId="2" borderId="15" xfId="0" applyNumberFormat="1" applyFont="1" applyFill="1" applyBorder="1" applyAlignment="1">
      <x:alignment vertical="center" wrapText="1"/>
    </x:xf>
    <x:xf numFmtId="200" fontId="27" fillId="2" borderId="15" xfId="0" applyNumberFormat="1" applyFont="1" applyFill="1" applyBorder="1" applyAlignment="1">
      <x:alignment vertical="center" wrapText="1"/>
    </x:xf>
    <x:xf numFmtId="201" fontId="27" fillId="2" borderId="15" xfId="0" applyNumberFormat="1" applyFont="1" applyFill="1" applyBorder="1" applyAlignment="1">
      <x:alignment vertical="center" wrapText="1"/>
    </x:xf>
    <x:xf numFmtId="202" fontId="27" fillId="2" borderId="15" xfId="0" applyNumberFormat="1" applyFont="1" applyFill="1" applyBorder="1" applyAlignment="1">
      <x:alignment vertical="center" wrapText="1"/>
    </x:xf>
    <x:xf numFmtId="203" fontId="27" fillId="2" borderId="15" xfId="0" applyNumberFormat="1" applyFont="1" applyFill="1" applyBorder="1" applyAlignment="1">
      <x:alignment vertical="center" wrapText="1"/>
    </x:xf>
    <x:xf numFmtId="204" fontId="27" fillId="2" borderId="15" xfId="0" applyNumberFormat="1" applyFont="1" applyFill="1" applyBorder="1" applyAlignment="1">
      <x:alignment vertical="center" wrapText="1"/>
    </x:xf>
    <x:xf numFmtId="0" fontId="26" fillId="2" borderId="15" xfId="0" applyNumberFormat="1" applyFont="1" applyFill="1" applyBorder="1" applyAlignment="1">
      <x:alignment vertical="center" wrapText="1"/>
    </x:xf>
    <x:xf numFmtId="0" fontId="27" fillId="2" borderId="15" xfId="0" applyNumberFormat="1" applyFont="1" applyFill="1" applyBorder="1" applyAlignment="1">
      <x:alignment vertical="top" wrapText="1"/>
    </x:xf>
    <x:xf numFmtId="0" fontId="27" fillId="2" borderId="16" xfId="0" applyNumberFormat="1" applyFont="1" applyFill="1" applyBorder="1" applyAlignment="1">
      <x:alignment vertical="center" wrapText="1"/>
    </x:xf>
    <x:xf numFmtId="200" fontId="27" fillId="2" borderId="16" xfId="0" applyNumberFormat="1" applyFont="1" applyFill="1" applyBorder="1" applyAlignment="1">
      <x:alignment vertical="center" wrapText="1"/>
    </x:xf>
    <x:xf numFmtId="201" fontId="27" fillId="2" borderId="16" xfId="0" applyNumberFormat="1" applyFont="1" applyFill="1" applyBorder="1" applyAlignment="1">
      <x:alignment vertical="center" wrapText="1"/>
    </x:xf>
    <x:xf numFmtId="202" fontId="27" fillId="2" borderId="16" xfId="0" applyNumberFormat="1" applyFont="1" applyFill="1" applyBorder="1" applyAlignment="1">
      <x:alignment vertical="center" wrapText="1"/>
    </x:xf>
    <x:xf numFmtId="203" fontId="27" fillId="2" borderId="16" xfId="0" applyNumberFormat="1" applyFont="1" applyFill="1" applyBorder="1" applyAlignment="1">
      <x:alignment vertical="center" wrapText="1"/>
    </x:xf>
    <x:xf numFmtId="204" fontId="27" fillId="2" borderId="16" xfId="0" applyNumberFormat="1" applyFont="1" applyFill="1" applyBorder="1" applyAlignment="1">
      <x:alignment vertical="center" wrapText="1"/>
    </x:xf>
    <x:xf numFmtId="0" fontId="26" fillId="2" borderId="16" xfId="0" applyNumberFormat="1" applyFont="1" applyFill="1" applyBorder="1" applyAlignment="1">
      <x:alignment vertical="center" wrapText="1"/>
    </x:xf>
    <x:xf numFmtId="0" fontId="27" fillId="2" borderId="16" xfId="0" applyNumberFormat="1" applyFont="1" applyFill="1" applyBorder="1" applyAlignment="1">
      <x:alignment vertical="top" wrapText="1"/>
    </x:xf>
    <x:xf numFmtId="0" fontId="27" fillId="3" borderId="16" xfId="0" applyNumberFormat="1" applyFont="1" applyFill="1" applyBorder="1" applyAlignment="1">
      <x:alignment vertical="center" wrapText="1"/>
    </x:xf>
    <x:xf numFmtId="200" fontId="27" fillId="3" borderId="16" xfId="0" applyNumberFormat="1" applyFont="1" applyFill="1" applyBorder="1" applyAlignment="1">
      <x:alignment vertical="center" wrapText="1"/>
    </x:xf>
    <x:xf numFmtId="201" fontId="27" fillId="3" borderId="16" xfId="0" applyNumberFormat="1" applyFont="1" applyFill="1" applyBorder="1" applyAlignment="1">
      <x:alignment vertical="center" wrapText="1"/>
    </x:xf>
    <x:xf numFmtId="202" fontId="27" fillId="3" borderId="16" xfId="0" applyNumberFormat="1" applyFont="1" applyFill="1" applyBorder="1" applyAlignment="1">
      <x:alignment vertical="center" wrapText="1"/>
    </x:xf>
    <x:xf numFmtId="203" fontId="27" fillId="3" borderId="16" xfId="0" applyNumberFormat="1" applyFont="1" applyFill="1" applyBorder="1" applyAlignment="1">
      <x:alignment vertical="center" wrapText="1"/>
    </x:xf>
    <x:xf numFmtId="204" fontId="27" fillId="3" borderId="16" xfId="0" applyNumberFormat="1" applyFont="1" applyFill="1" applyBorder="1" applyAlignment="1">
      <x:alignment vertical="center" wrapText="1"/>
    </x:xf>
    <x:xf numFmtId="0" fontId="26" fillId="3" borderId="16" xfId="0" applyNumberFormat="1" applyFont="1" applyFill="1" applyBorder="1" applyAlignment="1">
      <x:alignment vertical="center" wrapText="1"/>
    </x:xf>
    <x:xf numFmtId="0" fontId="27" fillId="3" borderId="16" xfId="0" applyNumberFormat="1" applyFont="1" applyFill="1" applyBorder="1" applyAlignment="1">
      <x:alignment vertical="top" wrapText="1"/>
    </x:xf>
    <x:xf numFmtId="0" fontId="27" fillId="4" borderId="16" xfId="0" applyNumberFormat="1" applyFont="1" applyFill="1" applyBorder="1" applyAlignment="1">
      <x:alignment vertical="center" wrapText="1"/>
    </x:xf>
    <x:xf numFmtId="200" fontId="27" fillId="4" borderId="16" xfId="0" applyNumberFormat="1" applyFont="1" applyFill="1" applyBorder="1" applyAlignment="1">
      <x:alignment vertical="center" wrapText="1"/>
    </x:xf>
    <x:xf numFmtId="201" fontId="27" fillId="4" borderId="16" xfId="0" applyNumberFormat="1" applyFont="1" applyFill="1" applyBorder="1" applyAlignment="1">
      <x:alignment vertical="center" wrapText="1"/>
    </x:xf>
    <x:xf numFmtId="202" fontId="27" fillId="4" borderId="16" xfId="0" applyNumberFormat="1" applyFont="1" applyFill="1" applyBorder="1" applyAlignment="1">
      <x:alignment vertical="center" wrapText="1"/>
    </x:xf>
    <x:xf numFmtId="203" fontId="27" fillId="4" borderId="16" xfId="0" applyNumberFormat="1" applyFont="1" applyFill="1" applyBorder="1" applyAlignment="1">
      <x:alignment vertical="center" wrapText="1"/>
    </x:xf>
    <x:xf numFmtId="204" fontId="27" fillId="4" borderId="16" xfId="0" applyNumberFormat="1" applyFont="1" applyFill="1" applyBorder="1" applyAlignment="1">
      <x:alignment vertical="center" wrapText="1"/>
    </x:xf>
    <x:xf numFmtId="0" fontId="26" fillId="4" borderId="16" xfId="0" applyNumberFormat="1" applyFont="1" applyFill="1" applyBorder="1" applyAlignment="1">
      <x:alignment vertical="center" wrapText="1"/>
    </x:xf>
    <x:xf numFmtId="0" fontId="27" fillId="4" borderId="16" xfId="0" applyNumberFormat="1" applyFont="1" applyFill="1" applyBorder="1" applyAlignment="1">
      <x:alignment vertical="top" wrapText="1"/>
    </x:xf>
    <x:xf numFmtId="0" fontId="27" fillId="7" borderId="16" xfId="0" applyNumberFormat="1" applyFont="1" applyFill="1" applyBorder="1" applyAlignment="1">
      <x:alignment vertical="center" wrapText="1"/>
    </x:xf>
    <x:xf numFmtId="200" fontId="27" fillId="7" borderId="16" xfId="0" applyNumberFormat="1" applyFont="1" applyFill="1" applyBorder="1" applyAlignment="1">
      <x:alignment vertical="center" wrapText="1"/>
    </x:xf>
    <x:xf numFmtId="201" fontId="27" fillId="7" borderId="16" xfId="0" applyNumberFormat="1" applyFont="1" applyFill="1" applyBorder="1" applyAlignment="1">
      <x:alignment vertical="center" wrapText="1"/>
    </x:xf>
    <x:xf numFmtId="202" fontId="27" fillId="7" borderId="16" xfId="0" applyNumberFormat="1" applyFont="1" applyFill="1" applyBorder="1" applyAlignment="1">
      <x:alignment vertical="center" wrapText="1"/>
    </x:xf>
    <x:xf numFmtId="203" fontId="27" fillId="7" borderId="16" xfId="0" applyNumberFormat="1" applyFont="1" applyFill="1" applyBorder="1" applyAlignment="1">
      <x:alignment vertical="center" wrapText="1"/>
    </x:xf>
    <x:xf numFmtId="204" fontId="27" fillId="7" borderId="16" xfId="0" applyNumberFormat="1" applyFont="1" applyFill="1" applyBorder="1" applyAlignment="1">
      <x:alignment vertical="center" wrapText="1"/>
    </x:xf>
    <x:xf numFmtId="0" fontId="26" fillId="7" borderId="16" xfId="0" applyNumberFormat="1" applyFont="1" applyFill="1" applyBorder="1" applyAlignment="1">
      <x:alignment vertical="center" wrapText="1"/>
    </x:xf>
    <x:xf numFmtId="0" fontId="27" fillId="7" borderId="16" xfId="0" applyNumberFormat="1" applyFont="1" applyFill="1" applyBorder="1" applyAlignment="1">
      <x:alignment vertical="top" wrapText="1"/>
    </x:xf>
    <x:xf numFmtId="0" fontId="27" fillId="3" borderId="16" xfId="0" applyNumberFormat="1" applyFont="1" applyFill="1" applyBorder="1" applyAlignment="1">
      <x:alignment horizontal="center" vertical="center" wrapText="1"/>
    </x:xf>
    <x:xf numFmtId="200" fontId="27" fillId="3" borderId="16" xfId="0" applyNumberFormat="1" applyFont="1" applyFill="1" applyBorder="1" applyAlignment="1">
      <x:alignment horizontal="center" vertical="center" wrapText="1"/>
    </x:xf>
    <x:xf numFmtId="201" fontId="27" fillId="3" borderId="16" xfId="0" applyNumberFormat="1" applyFont="1" applyFill="1" applyBorder="1" applyAlignment="1">
      <x:alignment horizontal="center" vertical="center" wrapText="1"/>
    </x:xf>
    <x:xf numFmtId="201" fontId="26" fillId="9" borderId="16" xfId="0" applyNumberFormat="1" applyFont="1" applyFill="1" applyBorder="1" applyAlignment="1">
      <x:alignment vertical="center" wrapText="1"/>
    </x:xf>
    <x:xf numFmtId="0" fontId="26" fillId="3" borderId="16" xfId="0" applyNumberFormat="1" applyFont="1" applyFill="1" applyBorder="1" applyAlignment="1">
      <x:alignment vertical="top" wrapText="1"/>
    </x:xf>
    <x:xf numFmtId="0" fontId="26" fillId="2" borderId="16" xfId="0" applyNumberFormat="1" applyFont="1" applyFill="1" applyBorder="1" applyAlignment="1">
      <x:alignment vertical="top" wrapText="1"/>
    </x:xf>
    <x:xf numFmtId="0" fontId="26" fillId="4" borderId="16" xfId="0" applyNumberFormat="1" applyFont="1" applyFill="1" applyBorder="1" applyAlignment="1">
      <x:alignment vertical="top" wrapText="1"/>
    </x:xf>
    <x:xf numFmtId="0" fontId="26" fillId="7" borderId="16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wrapText="1"/>
    </x:xf>
    <x:xf numFmtId="0" fontId="16" fillId="6" borderId="2" xfId="0" applyNumberFormat="1" applyFont="1" applyFill="1" applyBorder="1" applyAlignment="1">
      <x:alignment horizontal="center" vertical="center" wrapText="1"/>
    </x:xf>
    <x:xf numFmtId="0" fontId="16" fillId="6" borderId="3" xfId="0" applyNumberFormat="1" applyFont="1" applyFill="1" applyBorder="1" applyAlignment="1">
      <x:alignment horizontal="center" vertical="center" wrapText="1"/>
    </x:xf>
    <x:xf numFmtId="0" fontId="16" fillId="6" borderId="4" xfId="0" applyNumberFormat="1" applyFont="1" applyFill="1" applyBorder="1" applyAlignment="1">
      <x:alignment horizontal="center" vertical="center" wrapText="1"/>
    </x:xf>
    <x:xf numFmtId="0" fontId="16" fillId="2" borderId="0" xfId="0" applyNumberFormat="1" applyFont="1" applyFill="1" applyBorder="1" applyAlignment="1">
      <x:alignment horizontal="center" vertical="center"/>
    </x:xf>
    <x:xf numFmtId="0" fontId="16" fillId="9" borderId="0" xfId="0" applyNumberFormat="1" applyFont="1" applyFill="1" applyBorder="1" applyAlignment="1">
      <x:alignment horizontal="center" vertical="center"/>
    </x:xf>
    <x:xf numFmtId="202" fontId="25" fillId="14" borderId="0" xfId="0" applyNumberFormat="1" applyFont="1" applyFill="1" applyBorder="1" applyAlignment="1">
      <x:alignment horizontal="center" vertical="center"/>
    </x:xf>
    <x:xf numFmtId="203" fontId="25" fillId="14" borderId="0" xfId="0" applyNumberFormat="1" applyFont="1" applyFill="1" applyBorder="1" applyAlignment="1">
      <x:alignment horizontal="center" vertical="center"/>
    </x:xf>
    <x:xf numFmtId="201" fontId="25" fillId="14" borderId="0" xfId="0" applyNumberFormat="1" applyFont="1" applyFill="1" applyBorder="1" applyAlignment="1">
      <x:alignment horizontal="center" vertical="center"/>
    </x:xf>
    <x:xf numFmtId="0" fontId="28" fillId="14" borderId="0" xfId="0" applyNumberFormat="1" applyFont="1" applyFill="1" applyBorder="1" applyAlignment="1">
      <x:alignment horizontal="center" vertical="center"/>
    </x:xf>
    <x:xf numFmtId="0" fontId="25" fillId="14" borderId="0" xfId="0" applyNumberFormat="1" applyFont="1" applyFill="1" applyBorder="1" applyAlignment="1">
      <x:alignment vertical="center" wrapText="1"/>
    </x:xf>
    <x:xf numFmtId="0" fontId="16" fillId="35" borderId="2" xfId="0" applyNumberFormat="1" applyFont="1" applyFill="1" applyBorder="1" applyAlignment="1">
      <x:alignment horizontal="center" vertical="center" wrapText="1"/>
    </x:xf>
    <x:xf numFmtId="0" fontId="16" fillId="35" borderId="3" xfId="0" applyNumberFormat="1" applyFont="1" applyFill="1" applyBorder="1" applyAlignment="1">
      <x:alignment horizontal="center" vertical="center" wrapText="1"/>
    </x:xf>
    <x:xf numFmtId="0" fontId="16" fillId="35" borderId="4" xfId="0" applyNumberFormat="1" applyFont="1" applyFill="1" applyBorder="1" applyAlignment="1">
      <x:alignment horizontal="center" vertical="center" wrapText="1"/>
    </x:xf>
    <x:xf numFmtId="0" fontId="7" fillId="35" borderId="2" xfId="0" applyNumberFormat="1" applyFont="1" applyFill="1" applyBorder="1" applyAlignment="1">
      <x:alignment horizontal="center" vertical="center" wrapText="1"/>
    </x:xf>
    <x:xf numFmtId="0" fontId="7" fillId="35" borderId="3" xfId="0" applyNumberFormat="1" applyFont="1" applyFill="1" applyBorder="1" applyAlignment="1">
      <x:alignment horizontal="center" vertical="center" wrapText="1"/>
    </x:xf>
    <x:xf numFmtId="0" fontId="7" fillId="35" borderId="4" xfId="0" applyNumberFormat="1" applyFont="1" applyFill="1" applyBorder="1" applyAlignment="1">
      <x:alignment horizontal="center" vertical="center" wrapText="1"/>
    </x:xf>
    <x:xf numFmtId="0" fontId="7" fillId="35" borderId="8" xfId="0" applyNumberFormat="1" applyFont="1" applyFill="1" applyBorder="1" applyAlignment="1">
      <x:alignment horizontal="center" vertical="center" wrapText="1"/>
    </x:xf>
    <x:xf numFmtId="202" fontId="27" fillId="2" borderId="0" xfId="0" applyNumberFormat="1" applyFont="1" applyFill="1" applyBorder="1" applyAlignment="1">
      <x:alignment horizontal="center" vertical="center"/>
    </x:xf>
    <x:xf numFmtId="203" fontId="27" fillId="2" borderId="0" xfId="0" applyNumberFormat="1" applyFont="1" applyFill="1" applyBorder="1" applyAlignment="1">
      <x:alignment horizontal="center" vertical="center"/>
    </x:xf>
    <x:xf numFmtId="201" fontId="27" fillId="2" borderId="0" xfId="0" applyNumberFormat="1" applyFont="1" applyFill="1" applyBorder="1" applyAlignment="1">
      <x:alignment horizontal="center" vertical="center"/>
    </x:xf>
    <x:xf numFmtId="0" fontId="26" fillId="2" borderId="0" xfId="0" applyNumberFormat="1" applyFont="1" applyFill="1" applyBorder="1" applyAlignment="1">
      <x:alignment horizontal="center" vertical="center"/>
    </x:xf>
    <x:xf numFmtId="202" fontId="26" fillId="9" borderId="0" xfId="0" applyNumberFormat="1" applyFont="1" applyFill="1" applyBorder="1" applyAlignment="1">
      <x:alignment horizontal="center" vertical="center"/>
    </x:xf>
    <x:xf numFmtId="203" fontId="26" fillId="9" borderId="0" xfId="0" applyNumberFormat="1" applyFont="1" applyFill="1" applyBorder="1" applyAlignment="1">
      <x:alignment horizontal="center" vertical="center"/>
    </x:xf>
    <x:xf numFmtId="201" fontId="26" fillId="9" borderId="0" xfId="0" applyNumberFormat="1" applyFont="1" applyFill="1" applyBorder="1" applyAlignment="1">
      <x:alignment horizontal="center" vertical="center"/>
    </x:xf>
    <x:xf numFmtId="0" fontId="26" fillId="9" borderId="0" xfId="0" applyNumberFormat="1" applyFont="1" applyFill="1" applyBorder="1" applyAlignment="1">
      <x:alignment horizontal="center" vertical="center"/>
    </x:xf>
    <x:xf numFmtId="0" fontId="26" fillId="9" borderId="0" xfId="0" applyNumberFormat="1" applyFont="1" applyFill="1" applyBorder="1" applyAlignment="1">
      <x:alignment vertical="center" wrapText="1"/>
    </x:xf>
    <x:xf numFmtId="202" fontId="29" fillId="14" borderId="0" xfId="0" applyNumberFormat="1" applyFont="1" applyFill="1" applyBorder="1" applyAlignment="1">
      <x:alignment horizontal="center" vertical="center"/>
    </x:xf>
    <x:xf numFmtId="203" fontId="29" fillId="14" borderId="0" xfId="0" applyNumberFormat="1" applyFont="1" applyFill="1" applyBorder="1" applyAlignment="1">
      <x:alignment horizontal="center" vertical="center"/>
    </x:xf>
    <x:xf numFmtId="201" fontId="29" fillId="14" borderId="0" xfId="0" applyNumberFormat="1" applyFont="1" applyFill="1" applyBorder="1" applyAlignment="1">
      <x:alignment horizontal="center" vertical="center"/>
    </x:xf>
    <x:xf numFmtId="0" fontId="30" fillId="14" borderId="0" xfId="0" applyNumberFormat="1" applyFont="1" applyFill="1" applyBorder="1" applyAlignment="1">
      <x:alignment horizontal="center" vertical="center"/>
    </x:xf>
    <x:xf numFmtId="0" fontId="29" fillId="14" borderId="0" xfId="0" applyNumberFormat="1" applyFont="1" applyFill="1" applyBorder="1" applyAlignment="1">
      <x:alignment vertical="center" wrapText="1"/>
    </x:xf>
    <x:xf numFmtId="202" fontId="27" fillId="2" borderId="12" xfId="0" applyNumberFormat="1" applyFont="1" applyFill="1" applyBorder="1" applyAlignment="1">
      <x:alignment horizontal="center" vertical="center"/>
    </x:xf>
    <x:xf numFmtId="203" fontId="27" fillId="2" borderId="12" xfId="0" applyNumberFormat="1" applyFont="1" applyFill="1" applyBorder="1" applyAlignment="1">
      <x:alignment horizontal="center" vertical="center"/>
    </x:xf>
    <x:xf numFmtId="201" fontId="27" fillId="2" borderId="12" xfId="0" applyNumberFormat="1" applyFont="1" applyFill="1" applyBorder="1" applyAlignment="1">
      <x:alignment horizontal="center" vertical="center"/>
    </x:xf>
    <x:xf numFmtId="0" fontId="26" fillId="2" borderId="12" xfId="0" applyNumberFormat="1" applyFont="1" applyFill="1" applyBorder="1" applyAlignment="1">
      <x:alignment horizontal="center" vertical="center"/>
    </x:xf>
    <x:xf numFmtId="202" fontId="27" fillId="2" borderId="13" xfId="0" applyNumberFormat="1" applyFont="1" applyFill="1" applyBorder="1" applyAlignment="1">
      <x:alignment horizontal="center" vertical="center"/>
    </x:xf>
    <x:xf numFmtId="203" fontId="27" fillId="2" borderId="13" xfId="0" applyNumberFormat="1" applyFont="1" applyFill="1" applyBorder="1" applyAlignment="1">
      <x:alignment horizontal="center" vertical="center"/>
    </x:xf>
    <x:xf numFmtId="201" fontId="27" fillId="2" borderId="13" xfId="0" applyNumberFormat="1" applyFont="1" applyFill="1" applyBorder="1" applyAlignment="1">
      <x:alignment horizontal="center" vertical="center"/>
    </x:xf>
    <x:xf numFmtId="0" fontId="26" fillId="2" borderId="13" xfId="0" applyNumberFormat="1" applyFont="1" applyFill="1" applyBorder="1" applyAlignment="1">
      <x:alignment horizontal="center" vertical="center"/>
    </x:xf>
    <x:xf numFmtId="202" fontId="26" fillId="9" borderId="13" xfId="0" applyNumberFormat="1" applyFont="1" applyFill="1" applyBorder="1" applyAlignment="1">
      <x:alignment horizontal="center" vertical="center"/>
    </x:xf>
    <x:xf numFmtId="203" fontId="26" fillId="9" borderId="13" xfId="0" applyNumberFormat="1" applyFont="1" applyFill="1" applyBorder="1" applyAlignment="1">
      <x:alignment horizontal="center" vertical="center"/>
    </x:xf>
    <x:xf numFmtId="201" fontId="26" fillId="9" borderId="13" xfId="0" applyNumberFormat="1" applyFont="1" applyFill="1" applyBorder="1" applyAlignment="1">
      <x:alignment horizontal="center" vertical="center"/>
    </x:xf>
    <x:xf numFmtId="0" fontId="26" fillId="9" borderId="13" xfId="0" applyNumberFormat="1" applyFont="1" applyFill="1" applyBorder="1" applyAlignment="1">
      <x:alignment horizontal="center" vertical="center"/>
    </x:xf>
    <x:xf numFmtId="0" fontId="26" fillId="9" borderId="13" xfId="0" applyNumberFormat="1" applyFont="1" applyFill="1" applyBorder="1" applyAlignment="1">
      <x:alignment vertical="center" wrapText="1"/>
    </x:xf>
    <x:xf numFmtId="202" fontId="29" fillId="14" borderId="13" xfId="0" applyNumberFormat="1" applyFont="1" applyFill="1" applyBorder="1" applyAlignment="1">
      <x:alignment horizontal="center" vertical="center"/>
    </x:xf>
    <x:xf numFmtId="203" fontId="29" fillId="14" borderId="13" xfId="0" applyNumberFormat="1" applyFont="1" applyFill="1" applyBorder="1" applyAlignment="1">
      <x:alignment horizontal="center" vertical="center"/>
    </x:xf>
    <x:xf numFmtId="201" fontId="29" fillId="14" borderId="13" xfId="0" applyNumberFormat="1" applyFont="1" applyFill="1" applyBorder="1" applyAlignment="1">
      <x:alignment horizontal="center" vertical="center"/>
    </x:xf>
    <x:xf numFmtId="0" fontId="30" fillId="14" borderId="13" xfId="0" applyNumberFormat="1" applyFont="1" applyFill="1" applyBorder="1" applyAlignment="1">
      <x:alignment horizontal="center" vertical="center"/>
    </x:xf>
    <x:xf numFmtId="0" fontId="29" fillId="14" borderId="13" xfId="0" applyNumberFormat="1" applyFont="1" applyFill="1" applyBorder="1" applyAlignment="1">
      <x:alignment vertical="center" wrapText="1"/>
    </x:xf>
    <x:xf numFmtId="202" fontId="29" fillId="14" borderId="15" xfId="0" applyNumberFormat="1" applyFont="1" applyFill="1" applyBorder="1" applyAlignment="1">
      <x:alignment horizontal="center" vertical="center"/>
    </x:xf>
    <x:xf numFmtId="203" fontId="29" fillId="14" borderId="15" xfId="0" applyNumberFormat="1" applyFont="1" applyFill="1" applyBorder="1" applyAlignment="1">
      <x:alignment horizontal="center" vertical="center"/>
    </x:xf>
    <x:xf numFmtId="201" fontId="29" fillId="14" borderId="15" xfId="0" applyNumberFormat="1" applyFont="1" applyFill="1" applyBorder="1" applyAlignment="1">
      <x:alignment horizontal="center" vertical="center"/>
    </x:xf>
    <x:xf numFmtId="0" fontId="30" fillId="14" borderId="15" xfId="0" applyNumberFormat="1" applyFont="1" applyFill="1" applyBorder="1" applyAlignment="1">
      <x:alignment horizontal="center" vertical="center"/>
    </x:xf>
    <x:xf numFmtId="0" fontId="29" fillId="14" borderId="15" xfId="0" applyNumberFormat="1" applyFont="1" applyFill="1" applyBorder="1" applyAlignment="1">
      <x:alignment vertical="center" wrapText="1"/>
    </x:xf>
    <x:xf numFmtId="0" fontId="26" fillId="9" borderId="13" xfId="0" applyNumberFormat="1" applyFont="1" applyFill="1" applyBorder="1" applyAlignment="1">
      <x:alignment vertical="top" wrapText="1"/>
    </x:xf>
    <x:xf numFmtId="0" fontId="29" fillId="14" borderId="13" xfId="0" applyNumberFormat="1" applyFont="1" applyFill="1" applyBorder="1" applyAlignment="1">
      <x:alignment vertical="top" wrapText="1"/>
    </x:xf>
    <x:xf numFmtId="0" fontId="29" fillId="14" borderId="15" xfId="0" applyNumberFormat="1" applyFont="1" applyFill="1" applyBorder="1" applyAlignment="1">
      <x:alignment vertical="top" wrapText="1"/>
    </x:xf>
    <x:xf numFmtId="0" fontId="29" fillId="0" borderId="0" xfId="0" applyNumberFormat="1" applyFont="1" applyFill="1" applyBorder="1"/>
    <x:xf numFmtId="0" fontId="16" fillId="5" borderId="9" xfId="0" applyNumberFormat="1" applyFont="1" applyFill="1" applyBorder="1" applyAlignment="1">
      <x:alignment horizontal="center" vertical="center"/>
    </x:xf>
    <x:xf numFmtId="0" fontId="16" fillId="5" borderId="10" xfId="0" applyNumberFormat="1" applyFont="1" applyFill="1" applyBorder="1" applyAlignment="1">
      <x:alignment horizontal="center" vertical="center"/>
    </x:xf>
    <x:xf numFmtId="0" fontId="16" fillId="5" borderId="11" xfId="0" applyNumberFormat="1" applyFont="1" applyFill="1" applyBorder="1" applyAlignment="1">
      <x:alignment horizontal="center" vertical="center"/>
    </x:xf>
    <x:xf numFmtId="0" fontId="16" fillId="6" borderId="8" xfId="0" applyNumberFormat="1" applyFont="1" applyFill="1" applyBorder="1" applyAlignment="1">
      <x:alignment horizontal="center" vertical="center" wrapText="1"/>
    </x:xf>
    <x:xf numFmtId="0" fontId="8" fillId="3" borderId="12" xfId="0" applyNumberFormat="1" applyFont="1" applyFill="1" applyBorder="1" applyAlignment="1">
      <x:alignment vertical="center"/>
    </x:xf>
    <x:xf numFmtId="202" fontId="8" fillId="3" borderId="12" xfId="0" applyNumberFormat="1" applyFont="1" applyFill="1" applyBorder="1" applyAlignment="1">
      <x:alignment vertical="center"/>
    </x:xf>
    <x:xf numFmtId="202" fontId="16" fillId="3" borderId="12" xfId="0" applyNumberFormat="1" applyFont="1" applyFill="1" applyBorder="1" applyAlignment="1">
      <x:alignment vertical="center"/>
    </x:xf>
    <x:xf numFmtId="205" fontId="8" fillId="3" borderId="12" xfId="0" applyNumberFormat="1" applyFont="1" applyFill="1" applyBorder="1" applyAlignment="1">
      <x:alignment vertical="center"/>
    </x:xf>
    <x:xf numFmtId="202" fontId="16" fillId="9" borderId="12" xfId="0" applyNumberFormat="1" applyFont="1" applyFill="1" applyBorder="1" applyAlignment="1">
      <x:alignment vertical="center"/>
    </x:xf>
    <x:xf numFmtId="203" fontId="16" fillId="9" borderId="12" xfId="0" applyNumberFormat="1" applyFont="1" applyFill="1" applyBorder="1" applyAlignment="1">
      <x:alignment vertical="center"/>
    </x:xf>
    <x:xf numFmtId="201" fontId="16" fillId="9" borderId="12" xfId="0" applyNumberFormat="1" applyFont="1" applyFill="1" applyBorder="1" applyAlignment="1">
      <x:alignment vertical="center"/>
    </x:xf>
    <x:xf numFmtId="201" fontId="8" fillId="3" borderId="12" xfId="0" applyNumberFormat="1" applyFont="1" applyFill="1" applyBorder="1" applyAlignment="1">
      <x:alignment vertical="center"/>
    </x:xf>
    <x:xf numFmtId="0" fontId="8" fillId="3" borderId="12" xfId="0" applyNumberFormat="1" applyFont="1" applyFill="1" applyBorder="1" applyAlignment="1">
      <x:alignment horizontal="center" vertical="center"/>
    </x:xf>
    <x:xf numFmtId="0" fontId="8" fillId="3" borderId="12" xfId="0" applyNumberFormat="1" applyFont="1" applyFill="1" applyBorder="1" applyAlignment="1">
      <x:alignment vertical="top" wrapText="1"/>
    </x:xf>
    <x:xf numFmtId="0" fontId="8" fillId="3" borderId="12" xfId="0" applyNumberFormat="1" applyFont="1" applyFill="1" applyBorder="1" applyAlignment="1">
      <x:alignment vertical="center" wrapText="1"/>
    </x:xf>
    <x:xf numFmtId="0" fontId="16" fillId="3" borderId="12" xfId="0" applyNumberFormat="1" applyFont="1" applyFill="1" applyBorder="1" applyAlignment="1">
      <x:alignment horizontal="center" vertical="center"/>
    </x:xf>
    <x:xf numFmtId="0" fontId="8" fillId="3" borderId="13" xfId="0" applyNumberFormat="1" applyFont="1" applyFill="1" applyBorder="1" applyAlignment="1">
      <x:alignment vertical="center"/>
    </x:xf>
    <x:xf numFmtId="202" fontId="8" fillId="3" borderId="13" xfId="0" applyNumberFormat="1" applyFont="1" applyFill="1" applyBorder="1" applyAlignment="1">
      <x:alignment vertical="center"/>
    </x:xf>
    <x:xf numFmtId="205" fontId="8" fillId="3" borderId="13" xfId="0" applyNumberFormat="1" applyFont="1" applyFill="1" applyBorder="1" applyAlignment="1">
      <x:alignment vertical="center"/>
    </x:xf>
    <x:xf numFmtId="203" fontId="8" fillId="3" borderId="13" xfId="0" applyNumberFormat="1" applyFont="1" applyFill="1" applyBorder="1" applyAlignment="1">
      <x:alignment vertical="center"/>
    </x:xf>
    <x:xf numFmtId="201" fontId="8" fillId="3" borderId="13" xfId="0" applyNumberFormat="1" applyFont="1" applyFill="1" applyBorder="1" applyAlignment="1">
      <x:alignment vertical="center"/>
    </x:xf>
    <x:xf numFmtId="0" fontId="8" fillId="3" borderId="13" xfId="0" applyNumberFormat="1" applyFont="1" applyFill="1" applyBorder="1" applyAlignment="1">
      <x:alignment horizontal="center" vertical="center"/>
    </x:xf>
    <x:xf numFmtId="0" fontId="8" fillId="3" borderId="13" xfId="0" applyNumberFormat="1" applyFont="1" applyFill="1" applyBorder="1" applyAlignment="1">
      <x:alignment vertical="top" wrapText="1"/>
    </x:xf>
    <x:xf numFmtId="0" fontId="8" fillId="3" borderId="13" xfId="0" applyNumberFormat="1" applyFont="1" applyFill="1" applyBorder="1" applyAlignment="1">
      <x:alignment vertical="center" wrapText="1"/>
    </x:xf>
    <x:xf numFmtId="202" fontId="16" fillId="3" borderId="13" xfId="0" applyNumberFormat="1" applyFont="1" applyFill="1" applyBorder="1" applyAlignment="1">
      <x:alignment vertical="center"/>
    </x:xf>
    <x:xf numFmtId="202" fontId="16" fillId="9" borderId="13" xfId="0" applyNumberFormat="1" applyFont="1" applyFill="1" applyBorder="1" applyAlignment="1">
      <x:alignment vertical="center"/>
    </x:xf>
    <x:xf numFmtId="203" fontId="16" fillId="9" borderId="13" xfId="0" applyNumberFormat="1" applyFont="1" applyFill="1" applyBorder="1" applyAlignment="1">
      <x:alignment vertical="center"/>
    </x:xf>
    <x:xf numFmtId="201" fontId="16" fillId="9" borderId="13" xfId="0" applyNumberFormat="1" applyFont="1" applyFill="1" applyBorder="1" applyAlignment="1">
      <x:alignment vertical="center"/>
    </x:xf>
    <x:xf numFmtId="0" fontId="16" fillId="3" borderId="13" xfId="0" applyNumberFormat="1" applyFont="1" applyFill="1" applyBorder="1" applyAlignment="1">
      <x:alignment horizontal="center" vertical="center"/>
    </x:xf>
    <x:xf numFmtId="0" fontId="8" fillId="2" borderId="13" xfId="0" applyNumberFormat="1" applyFont="1" applyFill="1" applyBorder="1" applyAlignment="1">
      <x:alignment vertical="center"/>
    </x:xf>
    <x:xf numFmtId="202" fontId="8" fillId="2" borderId="13" xfId="0" applyNumberFormat="1" applyFont="1" applyFill="1" applyBorder="1" applyAlignment="1">
      <x:alignment vertical="center"/>
    </x:xf>
    <x:xf numFmtId="205" fontId="8" fillId="2" borderId="13" xfId="0" applyNumberFormat="1" applyFont="1" applyFill="1" applyBorder="1" applyAlignment="1">
      <x:alignment vertical="center"/>
    </x:xf>
    <x:xf numFmtId="203" fontId="8" fillId="2" borderId="13" xfId="0" applyNumberFormat="1" applyFont="1" applyFill="1" applyBorder="1" applyAlignment="1">
      <x:alignment vertical="center"/>
    </x:xf>
    <x:xf numFmtId="201" fontId="8" fillId="2" borderId="13" xfId="0" applyNumberFormat="1" applyFont="1" applyFill="1" applyBorder="1" applyAlignment="1">
      <x:alignment vertical="center"/>
    </x:xf>
    <x:xf numFmtId="0" fontId="8" fillId="2" borderId="13" xfId="0" applyNumberFormat="1" applyFont="1" applyFill="1" applyBorder="1" applyAlignment="1">
      <x:alignment horizontal="center" vertical="center"/>
    </x:xf>
    <x:xf numFmtId="0" fontId="8" fillId="2" borderId="13" xfId="0" applyNumberFormat="1" applyFont="1" applyFill="1" applyBorder="1" applyAlignment="1">
      <x:alignment vertical="top" wrapText="1"/>
    </x:xf>
    <x:xf numFmtId="0" fontId="8" fillId="2" borderId="13" xfId="0" applyNumberFormat="1" applyFont="1" applyFill="1" applyBorder="1" applyAlignment="1">
      <x:alignment vertical="center" wrapText="1"/>
    </x:xf>
    <x:xf numFmtId="202" fontId="16" fillId="2" borderId="13" xfId="0" applyNumberFormat="1" applyFont="1" applyFill="1" applyBorder="1" applyAlignment="1">
      <x:alignment vertical="center"/>
    </x:xf>
    <x:xf numFmtId="0" fontId="16" fillId="2" borderId="13" xfId="0" applyNumberFormat="1" applyFont="1" applyFill="1" applyBorder="1" applyAlignment="1">
      <x:alignment horizontal="center" vertical="center"/>
    </x:xf>
    <x:xf numFmtId="0" fontId="8" fillId="4" borderId="13" xfId="0" applyNumberFormat="1" applyFont="1" applyFill="1" applyBorder="1" applyAlignment="1">
      <x:alignment vertical="center"/>
    </x:xf>
    <x:xf numFmtId="202" fontId="8" fillId="4" borderId="13" xfId="0" applyNumberFormat="1" applyFont="1" applyFill="1" applyBorder="1" applyAlignment="1">
      <x:alignment vertical="center"/>
    </x:xf>
    <x:xf numFmtId="205" fontId="8" fillId="4" borderId="13" xfId="0" applyNumberFormat="1" applyFont="1" applyFill="1" applyBorder="1" applyAlignment="1">
      <x:alignment vertical="center"/>
    </x:xf>
    <x:xf numFmtId="203" fontId="8" fillId="4" borderId="13" xfId="0" applyNumberFormat="1" applyFont="1" applyFill="1" applyBorder="1" applyAlignment="1">
      <x:alignment vertical="center"/>
    </x:xf>
    <x:xf numFmtId="201" fontId="8" fillId="4" borderId="13" xfId="0" applyNumberFormat="1" applyFont="1" applyFill="1" applyBorder="1" applyAlignment="1">
      <x:alignment vertical="center"/>
    </x:xf>
    <x:xf numFmtId="0" fontId="8" fillId="4" borderId="13" xfId="0" applyNumberFormat="1" applyFont="1" applyFill="1" applyBorder="1" applyAlignment="1">
      <x:alignment horizontal="center" vertical="center"/>
    </x:xf>
    <x:xf numFmtId="0" fontId="8" fillId="4" borderId="13" xfId="0" applyNumberFormat="1" applyFont="1" applyFill="1" applyBorder="1" applyAlignment="1">
      <x:alignment vertical="top" wrapText="1"/>
    </x:xf>
    <x:xf numFmtId="0" fontId="8" fillId="4" borderId="13" xfId="0" applyNumberFormat="1" applyFont="1" applyFill="1" applyBorder="1" applyAlignment="1">
      <x:alignment vertical="center" wrapText="1"/>
    </x:xf>
    <x:xf numFmtId="202" fontId="16" fillId="4" borderId="13" xfId="0" applyNumberFormat="1" applyFont="1" applyFill="1" applyBorder="1" applyAlignment="1">
      <x:alignment vertical="center"/>
    </x:xf>
    <x:xf numFmtId="0" fontId="16" fillId="4" borderId="13" xfId="0" applyNumberFormat="1" applyFont="1" applyFill="1" applyBorder="1" applyAlignment="1">
      <x:alignment horizontal="center" vertical="center"/>
    </x:xf>
    <x:xf numFmtId="0" fontId="16" fillId="34" borderId="13" xfId="0" applyNumberFormat="1" applyFont="1" applyFill="1" applyBorder="1" applyAlignment="1">
      <x:alignment horizontal="center" vertical="center"/>
    </x:xf>
    <x:xf numFmtId="0" fontId="8" fillId="7" borderId="13" xfId="0" applyNumberFormat="1" applyFont="1" applyFill="1" applyBorder="1" applyAlignment="1">
      <x:alignment vertical="center"/>
    </x:xf>
    <x:xf numFmtId="202" fontId="8" fillId="7" borderId="13" xfId="0" applyNumberFormat="1" applyFont="1" applyFill="1" applyBorder="1" applyAlignment="1">
      <x:alignment vertical="center"/>
    </x:xf>
    <x:xf numFmtId="205" fontId="8" fillId="7" borderId="13" xfId="0" applyNumberFormat="1" applyFont="1" applyFill="1" applyBorder="1" applyAlignment="1">
      <x:alignment vertical="center"/>
    </x:xf>
    <x:xf numFmtId="203" fontId="8" fillId="7" borderId="13" xfId="0" applyNumberFormat="1" applyFont="1" applyFill="1" applyBorder="1" applyAlignment="1">
      <x:alignment vertical="center"/>
    </x:xf>
    <x:xf numFmtId="201" fontId="8" fillId="7" borderId="13" xfId="0" applyNumberFormat="1" applyFont="1" applyFill="1" applyBorder="1" applyAlignment="1">
      <x:alignment vertical="center"/>
    </x:xf>
    <x:xf numFmtId="0" fontId="8" fillId="7" borderId="13" xfId="0" applyNumberFormat="1" applyFont="1" applyFill="1" applyBorder="1" applyAlignment="1">
      <x:alignment vertical="top" wrapText="1"/>
    </x:xf>
    <x:xf numFmtId="0" fontId="8" fillId="7" borderId="13" xfId="0" applyNumberFormat="1" applyFont="1" applyFill="1" applyBorder="1" applyAlignment="1">
      <x:alignment vertical="center" wrapText="1"/>
    </x:xf>
    <x:xf numFmtId="0" fontId="8" fillId="7" borderId="13" xfId="0" applyNumberFormat="1" applyFont="1" applyFill="1" applyBorder="1" applyAlignment="1">
      <x:alignment horizontal="center" vertical="center"/>
    </x:xf>
    <x:xf numFmtId="202" fontId="16" fillId="7" borderId="13" xfId="0" applyNumberFormat="1" applyFont="1" applyFill="1" applyBorder="1" applyAlignment="1">
      <x:alignment vertical="center"/>
    </x:xf>
    <x:xf numFmtId="0" fontId="16" fillId="7" borderId="13" xfId="0" applyNumberFormat="1" applyFont="1" applyFill="1" applyBorder="1" applyAlignment="1">
      <x:alignment horizontal="center" vertical="center"/>
    </x:xf>
    <x:xf numFmtId="202" fontId="16" fillId="33" borderId="13" xfId="0" applyNumberFormat="1" applyFont="1" applyFill="1" applyBorder="1" applyAlignment="1">
      <x:alignment vertical="center"/>
    </x:xf>
    <x:xf numFmtId="0" fontId="16" fillId="33" borderId="13" xfId="0" applyNumberFormat="1" applyFont="1" applyFill="1" applyBorder="1" applyAlignment="1">
      <x:alignment horizontal="center" vertical="center"/>
    </x:xf>
    <x:xf numFmtId="0" fontId="27" fillId="3" borderId="12" xfId="0" applyNumberFormat="1" applyFont="1" applyFill="1" applyBorder="1" applyAlignment="1">
      <x:alignment vertical="center"/>
    </x:xf>
    <x:xf numFmtId="202" fontId="27" fillId="3" borderId="12" xfId="0" applyNumberFormat="1" applyFont="1" applyFill="1" applyBorder="1" applyAlignment="1">
      <x:alignment vertical="center"/>
    </x:xf>
    <x:xf numFmtId="202" fontId="26" fillId="3" borderId="12" xfId="0" applyNumberFormat="1" applyFont="1" applyFill="1" applyBorder="1" applyAlignment="1">
      <x:alignment vertical="center"/>
    </x:xf>
    <x:xf numFmtId="205" fontId="27" fillId="3" borderId="12" xfId="0" applyNumberFormat="1" applyFont="1" applyFill="1" applyBorder="1" applyAlignment="1">
      <x:alignment vertical="center"/>
    </x:xf>
    <x:xf numFmtId="202" fontId="26" fillId="9" borderId="12" xfId="0" applyNumberFormat="1" applyFont="1" applyFill="1" applyBorder="1" applyAlignment="1">
      <x:alignment vertical="center"/>
    </x:xf>
    <x:xf numFmtId="203" fontId="26" fillId="9" borderId="12" xfId="0" applyNumberFormat="1" applyFont="1" applyFill="1" applyBorder="1" applyAlignment="1">
      <x:alignment vertical="center"/>
    </x:xf>
    <x:xf numFmtId="201" fontId="26" fillId="9" borderId="12" xfId="0" applyNumberFormat="1" applyFont="1" applyFill="1" applyBorder="1" applyAlignment="1">
      <x:alignment vertical="center"/>
    </x:xf>
    <x:xf numFmtId="201" fontId="27" fillId="3" borderId="12" xfId="0" applyNumberFormat="1" applyFont="1" applyFill="1" applyBorder="1" applyAlignment="1">
      <x:alignment vertical="center"/>
    </x:xf>
    <x:xf numFmtId="0" fontId="27" fillId="3" borderId="12" xfId="0" applyNumberFormat="1" applyFont="1" applyFill="1" applyBorder="1" applyAlignment="1">
      <x:alignment horizontal="center" vertical="center"/>
    </x:xf>
    <x:xf numFmtId="0" fontId="27" fillId="3" borderId="12" xfId="0" applyNumberFormat="1" applyFont="1" applyFill="1" applyBorder="1" applyAlignment="1">
      <x:alignment vertical="top" wrapText="1"/>
    </x:xf>
    <x:xf numFmtId="0" fontId="27" fillId="3" borderId="12" xfId="0" applyNumberFormat="1" applyFont="1" applyFill="1" applyBorder="1" applyAlignment="1">
      <x:alignment vertical="center" wrapText="1"/>
    </x:xf>
    <x:xf numFmtId="0" fontId="26" fillId="3" borderId="12" xfId="0" applyNumberFormat="1" applyFont="1" applyFill="1" applyBorder="1" applyAlignment="1">
      <x:alignment horizontal="center" vertical="center"/>
    </x:xf>
    <x:xf numFmtId="0" fontId="27" fillId="3" borderId="13" xfId="0" applyNumberFormat="1" applyFont="1" applyFill="1" applyBorder="1" applyAlignment="1">
      <x:alignment vertical="center"/>
    </x:xf>
    <x:xf numFmtId="202" fontId="27" fillId="3" borderId="13" xfId="0" applyNumberFormat="1" applyFont="1" applyFill="1" applyBorder="1" applyAlignment="1">
      <x:alignment vertical="center"/>
    </x:xf>
    <x:xf numFmtId="205" fontId="27" fillId="3" borderId="13" xfId="0" applyNumberFormat="1" applyFont="1" applyFill="1" applyBorder="1" applyAlignment="1">
      <x:alignment vertical="center"/>
    </x:xf>
    <x:xf numFmtId="203" fontId="27" fillId="3" borderId="13" xfId="0" applyNumberFormat="1" applyFont="1" applyFill="1" applyBorder="1" applyAlignment="1">
      <x:alignment vertical="center"/>
    </x:xf>
    <x:xf numFmtId="201" fontId="27" fillId="3" borderId="13" xfId="0" applyNumberFormat="1" applyFont="1" applyFill="1" applyBorder="1" applyAlignment="1">
      <x:alignment vertical="center"/>
    </x:xf>
    <x:xf numFmtId="0" fontId="27" fillId="3" borderId="13" xfId="0" applyNumberFormat="1" applyFont="1" applyFill="1" applyBorder="1" applyAlignment="1">
      <x:alignment horizontal="center" vertical="center"/>
    </x:xf>
    <x:xf numFmtId="202" fontId="26" fillId="3" borderId="13" xfId="0" applyNumberFormat="1" applyFont="1" applyFill="1" applyBorder="1" applyAlignment="1">
      <x:alignment vertical="center"/>
    </x:xf>
    <x:xf numFmtId="202" fontId="26" fillId="9" borderId="13" xfId="0" applyNumberFormat="1" applyFont="1" applyFill="1" applyBorder="1" applyAlignment="1">
      <x:alignment vertical="center"/>
    </x:xf>
    <x:xf numFmtId="203" fontId="26" fillId="9" borderId="13" xfId="0" applyNumberFormat="1" applyFont="1" applyFill="1" applyBorder="1" applyAlignment="1">
      <x:alignment vertical="center"/>
    </x:xf>
    <x:xf numFmtId="201" fontId="26" fillId="9" borderId="13" xfId="0" applyNumberFormat="1" applyFont="1" applyFill="1" applyBorder="1" applyAlignment="1">
      <x:alignment vertical="center"/>
    </x:xf>
    <x:xf numFmtId="0" fontId="26" fillId="3" borderId="13" xfId="0" applyNumberFormat="1" applyFont="1" applyFill="1" applyBorder="1" applyAlignment="1">
      <x:alignment horizontal="center" vertical="center"/>
    </x:xf>
    <x:xf numFmtId="0" fontId="27" fillId="2" borderId="13" xfId="0" applyNumberFormat="1" applyFont="1" applyFill="1" applyBorder="1" applyAlignment="1">
      <x:alignment vertical="center"/>
    </x:xf>
    <x:xf numFmtId="202" fontId="27" fillId="2" borderId="13" xfId="0" applyNumberFormat="1" applyFont="1" applyFill="1" applyBorder="1" applyAlignment="1">
      <x:alignment vertical="center"/>
    </x:xf>
    <x:xf numFmtId="205" fontId="27" fillId="2" borderId="13" xfId="0" applyNumberFormat="1" applyFont="1" applyFill="1" applyBorder="1" applyAlignment="1">
      <x:alignment vertical="center"/>
    </x:xf>
    <x:xf numFmtId="203" fontId="27" fillId="2" borderId="13" xfId="0" applyNumberFormat="1" applyFont="1" applyFill="1" applyBorder="1" applyAlignment="1">
      <x:alignment vertical="center"/>
    </x:xf>
    <x:xf numFmtId="201" fontId="27" fillId="2" borderId="13" xfId="0" applyNumberFormat="1" applyFont="1" applyFill="1" applyBorder="1" applyAlignment="1">
      <x:alignment vertical="center"/>
    </x:xf>
    <x:xf numFmtId="0" fontId="27" fillId="2" borderId="13" xfId="0" applyNumberFormat="1" applyFont="1" applyFill="1" applyBorder="1" applyAlignment="1">
      <x:alignment horizontal="center" vertical="center"/>
    </x:xf>
    <x:xf numFmtId="202" fontId="26" fillId="2" borderId="13" xfId="0" applyNumberFormat="1" applyFont="1" applyFill="1" applyBorder="1" applyAlignment="1">
      <x:alignment vertical="center"/>
    </x:xf>
    <x:xf numFmtId="0" fontId="27" fillId="4" borderId="13" xfId="0" applyNumberFormat="1" applyFont="1" applyFill="1" applyBorder="1" applyAlignment="1">
      <x:alignment vertical="center"/>
    </x:xf>
    <x:xf numFmtId="202" fontId="27" fillId="4" borderId="13" xfId="0" applyNumberFormat="1" applyFont="1" applyFill="1" applyBorder="1" applyAlignment="1">
      <x:alignment vertical="center"/>
    </x:xf>
    <x:xf numFmtId="205" fontId="27" fillId="4" borderId="13" xfId="0" applyNumberFormat="1" applyFont="1" applyFill="1" applyBorder="1" applyAlignment="1">
      <x:alignment vertical="center"/>
    </x:xf>
    <x:xf numFmtId="203" fontId="27" fillId="4" borderId="13" xfId="0" applyNumberFormat="1" applyFont="1" applyFill="1" applyBorder="1" applyAlignment="1">
      <x:alignment vertical="center"/>
    </x:xf>
    <x:xf numFmtId="201" fontId="27" fillId="4" borderId="13" xfId="0" applyNumberFormat="1" applyFont="1" applyFill="1" applyBorder="1" applyAlignment="1">
      <x:alignment vertical="center"/>
    </x:xf>
    <x:xf numFmtId="0" fontId="27" fillId="4" borderId="13" xfId="0" applyNumberFormat="1" applyFont="1" applyFill="1" applyBorder="1" applyAlignment="1">
      <x:alignment horizontal="center" vertical="center"/>
    </x:xf>
    <x:xf numFmtId="202" fontId="26" fillId="4" borderId="13" xfId="0" applyNumberFormat="1" applyFont="1" applyFill="1" applyBorder="1" applyAlignment="1">
      <x:alignment vertical="center"/>
    </x:xf>
    <x:xf numFmtId="0" fontId="26" fillId="4" borderId="13" xfId="0" applyNumberFormat="1" applyFont="1" applyFill="1" applyBorder="1" applyAlignment="1">
      <x:alignment horizontal="center" vertical="center"/>
    </x:xf>
    <x:xf numFmtId="0" fontId="26" fillId="34" borderId="13" xfId="0" applyNumberFormat="1" applyFont="1" applyFill="1" applyBorder="1" applyAlignment="1">
      <x:alignment horizontal="center" vertical="center"/>
    </x:xf>
    <x:xf numFmtId="0" fontId="27" fillId="7" borderId="13" xfId="0" applyNumberFormat="1" applyFont="1" applyFill="1" applyBorder="1" applyAlignment="1">
      <x:alignment vertical="center"/>
    </x:xf>
    <x:xf numFmtId="202" fontId="27" fillId="7" borderId="13" xfId="0" applyNumberFormat="1" applyFont="1" applyFill="1" applyBorder="1" applyAlignment="1">
      <x:alignment vertical="center"/>
    </x:xf>
    <x:xf numFmtId="205" fontId="27" fillId="7" borderId="13" xfId="0" applyNumberFormat="1" applyFont="1" applyFill="1" applyBorder="1" applyAlignment="1">
      <x:alignment vertical="center"/>
    </x:xf>
    <x:xf numFmtId="203" fontId="27" fillId="7" borderId="13" xfId="0" applyNumberFormat="1" applyFont="1" applyFill="1" applyBorder="1" applyAlignment="1">
      <x:alignment vertical="center"/>
    </x:xf>
    <x:xf numFmtId="201" fontId="27" fillId="7" borderId="13" xfId="0" applyNumberFormat="1" applyFont="1" applyFill="1" applyBorder="1" applyAlignment="1">
      <x:alignment vertical="center"/>
    </x:xf>
    <x:xf numFmtId="0" fontId="27" fillId="7" borderId="13" xfId="0" applyNumberFormat="1" applyFont="1" applyFill="1" applyBorder="1" applyAlignment="1">
      <x:alignment horizontal="center" vertical="center"/>
    </x:xf>
    <x:xf numFmtId="202" fontId="26" fillId="7" borderId="13" xfId="0" applyNumberFormat="1" applyFont="1" applyFill="1" applyBorder="1" applyAlignment="1">
      <x:alignment vertical="center"/>
    </x:xf>
    <x:xf numFmtId="0" fontId="26" fillId="7" borderId="13" xfId="0" applyNumberFormat="1" applyFont="1" applyFill="1" applyBorder="1" applyAlignment="1">
      <x:alignment horizontal="center" vertical="center"/>
    </x:xf>
    <x:xf numFmtId="0" fontId="27" fillId="33" borderId="13" xfId="0" applyNumberFormat="1" applyFont="1" applyFill="1" applyBorder="1" applyAlignment="1">
      <x:alignment vertical="center"/>
    </x:xf>
    <x:xf numFmtId="202" fontId="27" fillId="33" borderId="13" xfId="0" applyNumberFormat="1" applyFont="1" applyFill="1" applyBorder="1" applyAlignment="1">
      <x:alignment vertical="center"/>
    </x:xf>
    <x:xf numFmtId="205" fontId="27" fillId="33" borderId="13" xfId="0" applyNumberFormat="1" applyFont="1" applyFill="1" applyBorder="1" applyAlignment="1">
      <x:alignment vertical="center"/>
    </x:xf>
    <x:xf numFmtId="203" fontId="27" fillId="33" borderId="13" xfId="0" applyNumberFormat="1" applyFont="1" applyFill="1" applyBorder="1" applyAlignment="1">
      <x:alignment vertical="center"/>
    </x:xf>
    <x:xf numFmtId="201" fontId="27" fillId="33" borderId="13" xfId="0" applyNumberFormat="1" applyFont="1" applyFill="1" applyBorder="1" applyAlignment="1">
      <x:alignment vertical="center"/>
    </x:xf>
    <x:xf numFmtId="0" fontId="27" fillId="33" borderId="13" xfId="0" applyNumberFormat="1" applyFont="1" applyFill="1" applyBorder="1" applyAlignment="1">
      <x:alignment horizontal="center" vertical="center"/>
    </x:xf>
    <x:xf numFmtId="0" fontId="27" fillId="33" borderId="13" xfId="0" applyNumberFormat="1" applyFont="1" applyFill="1" applyBorder="1" applyAlignment="1">
      <x:alignment vertical="top" wrapText="1"/>
    </x:xf>
    <x:xf numFmtId="0" fontId="27" fillId="33" borderId="13" xfId="0" applyNumberFormat="1" applyFont="1" applyFill="1" applyBorder="1" applyAlignment="1">
      <x:alignment vertical="center" wrapText="1"/>
    </x:xf>
    <x:xf numFmtId="202" fontId="26" fillId="33" borderId="13" xfId="0" applyNumberFormat="1" applyFont="1" applyFill="1" applyBorder="1" applyAlignment="1">
      <x:alignment vertical="center"/>
    </x:xf>
    <x:xf numFmtId="0" fontId="26" fillId="33" borderId="13" xfId="0" applyNumberFormat="1" applyFont="1" applyFill="1" applyBorder="1" applyAlignment="1">
      <x:alignment horizontal="center" vertical="center"/>
    </x:xf>
    <x:xf numFmtId="0" fontId="27" fillId="33" borderId="14" xfId="0" applyNumberFormat="1" applyFont="1" applyFill="1" applyBorder="1" applyAlignment="1">
      <x:alignment vertical="center"/>
    </x:xf>
    <x:xf numFmtId="202" fontId="27" fillId="33" borderId="14" xfId="0" applyNumberFormat="1" applyFont="1" applyFill="1" applyBorder="1" applyAlignment="1">
      <x:alignment vertical="center"/>
    </x:xf>
    <x:xf numFmtId="205" fontId="27" fillId="33" borderId="14" xfId="0" applyNumberFormat="1" applyFont="1" applyFill="1" applyBorder="1" applyAlignment="1">
      <x:alignment vertical="center"/>
    </x:xf>
    <x:xf numFmtId="203" fontId="27" fillId="33" borderId="14" xfId="0" applyNumberFormat="1" applyFont="1" applyFill="1" applyBorder="1" applyAlignment="1">
      <x:alignment vertical="center"/>
    </x:xf>
    <x:xf numFmtId="201" fontId="27" fillId="33" borderId="14" xfId="0" applyNumberFormat="1" applyFont="1" applyFill="1" applyBorder="1" applyAlignment="1">
      <x:alignment vertical="center"/>
    </x:xf>
    <x:xf numFmtId="0" fontId="27" fillId="33" borderId="14" xfId="0" applyNumberFormat="1" applyFont="1" applyFill="1" applyBorder="1" applyAlignment="1">
      <x:alignment horizontal="center" vertical="center"/>
    </x:xf>
    <x:xf numFmtId="0" fontId="27" fillId="33" borderId="14" xfId="0" applyNumberFormat="1" applyFont="1" applyFill="1" applyBorder="1" applyAlignment="1">
      <x:alignment vertical="top" wrapText="1"/>
    </x:xf>
    <x:xf numFmtId="0" fontId="27" fillId="33" borderId="14" xfId="0" applyNumberFormat="1" applyFont="1" applyFill="1" applyBorder="1" applyAlignment="1">
      <x:alignment vertical="center" wrapText="1"/>
    </x:xf>
    <x:xf numFmtId="0" fontId="27" fillId="33" borderId="15" xfId="0" applyNumberFormat="1" applyFont="1" applyFill="1" applyBorder="1" applyAlignment="1">
      <x:alignment vertical="center"/>
    </x:xf>
    <x:xf numFmtId="202" fontId="27" fillId="33" borderId="15" xfId="0" applyNumberFormat="1" applyFont="1" applyFill="1" applyBorder="1" applyAlignment="1">
      <x:alignment vertical="center"/>
    </x:xf>
    <x:xf numFmtId="205" fontId="27" fillId="33" borderId="15" xfId="0" applyNumberFormat="1" applyFont="1" applyFill="1" applyBorder="1" applyAlignment="1">
      <x:alignment vertical="center"/>
    </x:xf>
    <x:xf numFmtId="203" fontId="27" fillId="33" borderId="15" xfId="0" applyNumberFormat="1" applyFont="1" applyFill="1" applyBorder="1" applyAlignment="1">
      <x:alignment vertical="center"/>
    </x:xf>
    <x:xf numFmtId="201" fontId="27" fillId="33" borderId="15" xfId="0" applyNumberFormat="1" applyFont="1" applyFill="1" applyBorder="1" applyAlignment="1">
      <x:alignment vertical="center"/>
    </x:xf>
    <x:xf numFmtId="0" fontId="27" fillId="33" borderId="15" xfId="0" applyNumberFormat="1" applyFont="1" applyFill="1" applyBorder="1" applyAlignment="1">
      <x:alignment horizontal="center" vertical="center"/>
    </x:xf>
    <x:xf numFmtId="0" fontId="27" fillId="33" borderId="15" xfId="0" applyNumberFormat="1" applyFont="1" applyFill="1" applyBorder="1" applyAlignment="1">
      <x:alignment vertical="top" wrapText="1"/>
    </x:xf>
    <x:xf numFmtId="0" fontId="27" fillId="33" borderId="15" xfId="0" applyNumberFormat="1" applyFont="1" applyFill="1" applyBorder="1" applyAlignment="1">
      <x:alignment vertical="center" wrapText="1"/>
    </x:xf>
    <x:xf numFmtId="0" fontId="27" fillId="0" borderId="0" xfId="0" applyNumberFormat="1" applyFont="1" applyFill="1" applyBorder="1"/>
    <x:xf numFmtId="0" fontId="27" fillId="0" borderId="12" xfId="0" applyNumberFormat="1" applyFont="1" applyFill="1" applyBorder="1"/>
    <x:xf numFmtId="0" fontId="27" fillId="0" borderId="13" xfId="0" applyNumberFormat="1" applyFont="1" applyFill="1" applyBorder="1"/>
    <x:xf numFmtId="0" fontId="27" fillId="0" borderId="15" xfId="0" applyNumberFormat="1" applyFont="1" applyFill="1" applyBorder="1"/>
    <x:xf numFmtId="0" fontId="27" fillId="0" borderId="12" xfId="0" applyNumberFormat="1" applyFont="1" applyFill="1" applyBorder="1" applyAlignment="1">
      <x:alignment vertical="center"/>
    </x:xf>
    <x:xf numFmtId="0" fontId="27" fillId="0" borderId="13" xfId="0" applyNumberFormat="1" applyFont="1" applyFill="1" applyBorder="1" applyAlignment="1">
      <x:alignment vertical="center"/>
    </x:xf>
    <x:xf numFmtId="0" fontId="27" fillId="0" borderId="15" xfId="0" applyNumberFormat="1" applyFont="1" applyFill="1" applyBorder="1" applyAlignment="1">
      <x:alignment vertical="center"/>
    </x:xf>
    <x:xf numFmtId="0" fontId="27" fillId="36" borderId="12" xfId="0" applyNumberFormat="1" applyFont="1" applyFill="1" applyBorder="1" applyAlignment="1">
      <x:alignment vertical="center"/>
    </x:xf>
    <x:xf numFmtId="0" fontId="27" fillId="36" borderId="13" xfId="0" applyNumberFormat="1" applyFont="1" applyFill="1" applyBorder="1" applyAlignment="1">
      <x:alignment vertical="center"/>
    </x:xf>
    <x:xf numFmtId="0" fontId="27" fillId="37" borderId="13" xfId="0" applyNumberFormat="1" applyFont="1" applyFill="1" applyBorder="1" applyAlignment="1">
      <x:alignment vertical="center"/>
    </x:xf>
    <x:xf numFmtId="0" fontId="27" fillId="38" borderId="13" xfId="0" applyNumberFormat="1" applyFont="1" applyFill="1" applyBorder="1" applyAlignment="1">
      <x:alignment vertical="center"/>
    </x:xf>
    <x:xf numFmtId="0" fontId="27" fillId="39" borderId="13" xfId="0" applyNumberFormat="1" applyFont="1" applyFill="1" applyBorder="1" applyAlignment="1">
      <x:alignment vertical="center"/>
    </x:xf>
    <x:xf numFmtId="0" fontId="27" fillId="40" borderId="13" xfId="0" applyNumberFormat="1" applyFont="1" applyFill="1" applyBorder="1" applyAlignment="1">
      <x:alignment vertical="center"/>
    </x:xf>
    <x:xf numFmtId="0" fontId="27" fillId="40" borderId="15" xfId="0" applyNumberFormat="1" applyFont="1" applyFill="1" applyBorder="1" applyAlignment="1">
      <x:alignment vertical="center"/>
    </x:xf>
    <x:xf numFmtId="202" fontId="27" fillId="36" borderId="12" xfId="0" applyNumberFormat="1" applyFont="1" applyFill="1" applyBorder="1" applyAlignment="1">
      <x:alignment vertical="center"/>
    </x:xf>
    <x:xf numFmtId="202" fontId="27" fillId="36" borderId="13" xfId="0" applyNumberFormat="1" applyFont="1" applyFill="1" applyBorder="1" applyAlignment="1">
      <x:alignment vertical="center"/>
    </x:xf>
    <x:xf numFmtId="202" fontId="27" fillId="37" borderId="13" xfId="0" applyNumberFormat="1" applyFont="1" applyFill="1" applyBorder="1" applyAlignment="1">
      <x:alignment vertical="center"/>
    </x:xf>
    <x:xf numFmtId="202" fontId="27" fillId="38" borderId="13" xfId="0" applyNumberFormat="1" applyFont="1" applyFill="1" applyBorder="1" applyAlignment="1">
      <x:alignment vertical="center"/>
    </x:xf>
    <x:xf numFmtId="202" fontId="27" fillId="39" borderId="13" xfId="0" applyNumberFormat="1" applyFont="1" applyFill="1" applyBorder="1" applyAlignment="1">
      <x:alignment vertical="center"/>
    </x:xf>
    <x:xf numFmtId="202" fontId="27" fillId="40" borderId="13" xfId="0" applyNumberFormat="1" applyFont="1" applyFill="1" applyBorder="1" applyAlignment="1">
      <x:alignment vertical="center"/>
    </x:xf>
    <x:xf numFmtId="202" fontId="27" fillId="40" borderId="15" xfId="0" applyNumberFormat="1" applyFont="1" applyFill="1" applyBorder="1" applyAlignment="1">
      <x:alignment vertical="center"/>
    </x:xf>
    <x:xf numFmtId="205" fontId="27" fillId="36" borderId="12" xfId="0" applyNumberFormat="1" applyFont="1" applyFill="1" applyBorder="1" applyAlignment="1">
      <x:alignment vertical="center"/>
    </x:xf>
    <x:xf numFmtId="205" fontId="27" fillId="36" borderId="13" xfId="0" applyNumberFormat="1" applyFont="1" applyFill="1" applyBorder="1" applyAlignment="1">
      <x:alignment vertical="center"/>
    </x:xf>
    <x:xf numFmtId="205" fontId="27" fillId="37" borderId="13" xfId="0" applyNumberFormat="1" applyFont="1" applyFill="1" applyBorder="1" applyAlignment="1">
      <x:alignment vertical="center"/>
    </x:xf>
    <x:xf numFmtId="205" fontId="27" fillId="38" borderId="13" xfId="0" applyNumberFormat="1" applyFont="1" applyFill="1" applyBorder="1" applyAlignment="1">
      <x:alignment vertical="center"/>
    </x:xf>
    <x:xf numFmtId="205" fontId="27" fillId="39" borderId="13" xfId="0" applyNumberFormat="1" applyFont="1" applyFill="1" applyBorder="1" applyAlignment="1">
      <x:alignment vertical="center"/>
    </x:xf>
    <x:xf numFmtId="205" fontId="27" fillId="40" borderId="13" xfId="0" applyNumberFormat="1" applyFont="1" applyFill="1" applyBorder="1" applyAlignment="1">
      <x:alignment vertical="center"/>
    </x:xf>
    <x:xf numFmtId="205" fontId="27" fillId="40" borderId="15" xfId="0" applyNumberFormat="1" applyFont="1" applyFill="1" applyBorder="1" applyAlignment="1">
      <x:alignment vertical="center"/>
    </x:xf>
    <x:xf numFmtId="203" fontId="27" fillId="36" borderId="12" xfId="0" applyNumberFormat="1" applyFont="1" applyFill="1" applyBorder="1" applyAlignment="1">
      <x:alignment vertical="center"/>
    </x:xf>
    <x:xf numFmtId="203" fontId="27" fillId="36" borderId="13" xfId="0" applyNumberFormat="1" applyFont="1" applyFill="1" applyBorder="1" applyAlignment="1">
      <x:alignment vertical="center"/>
    </x:xf>
    <x:xf numFmtId="203" fontId="27" fillId="37" borderId="13" xfId="0" applyNumberFormat="1" applyFont="1" applyFill="1" applyBorder="1" applyAlignment="1">
      <x:alignment vertical="center"/>
    </x:xf>
    <x:xf numFmtId="203" fontId="27" fillId="38" borderId="13" xfId="0" applyNumberFormat="1" applyFont="1" applyFill="1" applyBorder="1" applyAlignment="1">
      <x:alignment vertical="center"/>
    </x:xf>
    <x:xf numFmtId="203" fontId="27" fillId="39" borderId="13" xfId="0" applyNumberFormat="1" applyFont="1" applyFill="1" applyBorder="1" applyAlignment="1">
      <x:alignment vertical="center"/>
    </x:xf>
    <x:xf numFmtId="203" fontId="27" fillId="40" borderId="13" xfId="0" applyNumberFormat="1" applyFont="1" applyFill="1" applyBorder="1" applyAlignment="1">
      <x:alignment vertical="center"/>
    </x:xf>
    <x:xf numFmtId="203" fontId="27" fillId="40" borderId="15" xfId="0" applyNumberFormat="1" applyFont="1" applyFill="1" applyBorder="1" applyAlignment="1">
      <x:alignment vertical="center"/>
    </x:xf>
    <x:xf numFmtId="201" fontId="27" fillId="36" borderId="12" xfId="0" applyNumberFormat="1" applyFont="1" applyFill="1" applyBorder="1" applyAlignment="1">
      <x:alignment vertical="center"/>
    </x:xf>
    <x:xf numFmtId="201" fontId="27" fillId="36" borderId="13" xfId="0" applyNumberFormat="1" applyFont="1" applyFill="1" applyBorder="1" applyAlignment="1">
      <x:alignment vertical="center"/>
    </x:xf>
    <x:xf numFmtId="201" fontId="27" fillId="37" borderId="13" xfId="0" applyNumberFormat="1" applyFont="1" applyFill="1" applyBorder="1" applyAlignment="1">
      <x:alignment vertical="center"/>
    </x:xf>
    <x:xf numFmtId="201" fontId="27" fillId="38" borderId="13" xfId="0" applyNumberFormat="1" applyFont="1" applyFill="1" applyBorder="1" applyAlignment="1">
      <x:alignment vertical="center"/>
    </x:xf>
    <x:xf numFmtId="201" fontId="27" fillId="39" borderId="13" xfId="0" applyNumberFormat="1" applyFont="1" applyFill="1" applyBorder="1" applyAlignment="1">
      <x:alignment vertical="center"/>
    </x:xf>
    <x:xf numFmtId="201" fontId="27" fillId="40" borderId="13" xfId="0" applyNumberFormat="1" applyFont="1" applyFill="1" applyBorder="1" applyAlignment="1">
      <x:alignment vertical="center"/>
    </x:xf>
    <x:xf numFmtId="201" fontId="27" fillId="40" borderId="15" xfId="0" applyNumberFormat="1" applyFont="1" applyFill="1" applyBorder="1" applyAlignment="1">
      <x:alignment vertical="center"/>
    </x:xf>
    <x:xf numFmtId="0" fontId="27" fillId="36" borderId="12" xfId="0" applyNumberFormat="1" applyFont="1" applyFill="1" applyBorder="1" applyAlignment="1">
      <x:alignment horizontal="center" vertical="center"/>
    </x:xf>
    <x:xf numFmtId="0" fontId="27" fillId="36" borderId="13" xfId="0" applyNumberFormat="1" applyFont="1" applyFill="1" applyBorder="1" applyAlignment="1">
      <x:alignment horizontal="center" vertical="center"/>
    </x:xf>
    <x:xf numFmtId="0" fontId="27" fillId="37" borderId="13" xfId="0" applyNumberFormat="1" applyFont="1" applyFill="1" applyBorder="1" applyAlignment="1">
      <x:alignment horizontal="center" vertical="center"/>
    </x:xf>
    <x:xf numFmtId="0" fontId="27" fillId="38" borderId="13" xfId="0" applyNumberFormat="1" applyFont="1" applyFill="1" applyBorder="1" applyAlignment="1">
      <x:alignment horizontal="center" vertical="center"/>
    </x:xf>
    <x:xf numFmtId="0" fontId="27" fillId="39" borderId="13" xfId="0" applyNumberFormat="1" applyFont="1" applyFill="1" applyBorder="1" applyAlignment="1">
      <x:alignment horizontal="center" vertical="center"/>
    </x:xf>
    <x:xf numFmtId="0" fontId="27" fillId="40" borderId="13" xfId="0" applyNumberFormat="1" applyFont="1" applyFill="1" applyBorder="1" applyAlignment="1">
      <x:alignment horizontal="center" vertical="center"/>
    </x:xf>
    <x:xf numFmtId="0" fontId="27" fillId="40" borderId="15" xfId="0" applyNumberFormat="1" applyFont="1" applyFill="1" applyBorder="1" applyAlignment="1">
      <x:alignment horizontal="center" vertical="center"/>
    </x:xf>
    <x:xf numFmtId="0" fontId="27" fillId="36" borderId="12" xfId="0" applyNumberFormat="1" applyFont="1" applyFill="1" applyBorder="1" applyAlignment="1">
      <x:alignment vertical="center" wrapText="1"/>
    </x:xf>
    <x:xf numFmtId="0" fontId="27" fillId="36" borderId="13" xfId="0" applyNumberFormat="1" applyFont="1" applyFill="1" applyBorder="1" applyAlignment="1">
      <x:alignment vertical="center" wrapText="1"/>
    </x:xf>
    <x:xf numFmtId="0" fontId="27" fillId="37" borderId="13" xfId="0" applyNumberFormat="1" applyFont="1" applyFill="1" applyBorder="1" applyAlignment="1">
      <x:alignment vertical="center" wrapText="1"/>
    </x:xf>
    <x:xf numFmtId="0" fontId="27" fillId="38" borderId="13" xfId="0" applyNumberFormat="1" applyFont="1" applyFill="1" applyBorder="1" applyAlignment="1">
      <x:alignment vertical="center" wrapText="1"/>
    </x:xf>
    <x:xf numFmtId="0" fontId="27" fillId="39" borderId="13" xfId="0" applyNumberFormat="1" applyFont="1" applyFill="1" applyBorder="1" applyAlignment="1">
      <x:alignment vertical="center" wrapText="1"/>
    </x:xf>
    <x:xf numFmtId="0" fontId="27" fillId="40" borderId="13" xfId="0" applyNumberFormat="1" applyFont="1" applyFill="1" applyBorder="1" applyAlignment="1">
      <x:alignment vertical="center" wrapText="1"/>
    </x:xf>
    <x:xf numFmtId="0" fontId="27" fillId="40" borderId="15" xfId="0" applyNumberFormat="1" applyFont="1" applyFill="1" applyBorder="1" applyAlignment="1">
      <x:alignment vertical="center" wrapText="1"/>
    </x:xf>
    <x:xf numFmtId="0" fontId="27" fillId="36" borderId="12" xfId="0" applyNumberFormat="1" applyFont="1" applyFill="1" applyBorder="1" applyAlignment="1">
      <x:alignment vertical="top" wrapText="1"/>
    </x:xf>
    <x:xf numFmtId="0" fontId="27" fillId="36" borderId="13" xfId="0" applyNumberFormat="1" applyFont="1" applyFill="1" applyBorder="1" applyAlignment="1">
      <x:alignment vertical="top" wrapText="1"/>
    </x:xf>
    <x:xf numFmtId="0" fontId="27" fillId="37" borderId="13" xfId="0" applyNumberFormat="1" applyFont="1" applyFill="1" applyBorder="1" applyAlignment="1">
      <x:alignment vertical="top" wrapText="1"/>
    </x:xf>
    <x:xf numFmtId="0" fontId="27" fillId="38" borderId="13" xfId="0" applyNumberFormat="1" applyFont="1" applyFill="1" applyBorder="1" applyAlignment="1">
      <x:alignment vertical="top" wrapText="1"/>
    </x:xf>
    <x:xf numFmtId="0" fontId="27" fillId="39" borderId="13" xfId="0" applyNumberFormat="1" applyFont="1" applyFill="1" applyBorder="1" applyAlignment="1">
      <x:alignment vertical="top" wrapText="1"/>
    </x:xf>
    <x:xf numFmtId="0" fontId="27" fillId="40" borderId="13" xfId="0" applyNumberFormat="1" applyFont="1" applyFill="1" applyBorder="1" applyAlignment="1">
      <x:alignment vertical="top" wrapText="1"/>
    </x:xf>
    <x:xf numFmtId="0" fontId="27" fillId="40" borderId="15" xfId="0" applyNumberFormat="1" applyFont="1" applyFill="1" applyBorder="1" applyAlignment="1">
      <x:alignment vertical="top" wrapText="1"/>
    </x:xf>
    <x:xf numFmtId="202" fontId="31" fillId="36" borderId="12" xfId="0" applyNumberFormat="1" applyFont="1" applyFill="1" applyBorder="1" applyAlignment="1">
      <x:alignment vertical="center"/>
    </x:xf>
    <x:xf numFmtId="202" fontId="27" fillId="41" borderId="12" xfId="0" applyNumberFormat="1" applyFont="1" applyFill="1" applyBorder="1" applyAlignment="1">
      <x:alignment vertical="center"/>
    </x:xf>
    <x:xf numFmtId="203" fontId="27" fillId="41" borderId="12" xfId="0" applyNumberFormat="1" applyFont="1" applyFill="1" applyBorder="1" applyAlignment="1">
      <x:alignment vertical="center"/>
    </x:xf>
    <x:xf numFmtId="201" fontId="27" fillId="41" borderId="12" xfId="0" applyNumberFormat="1" applyFont="1" applyFill="1" applyBorder="1" applyAlignment="1">
      <x:alignment vertical="center"/>
    </x:xf>
    <x:xf numFmtId="202" fontId="31" fillId="41" borderId="12" xfId="0" applyNumberFormat="1" applyFont="1" applyFill="1" applyBorder="1" applyAlignment="1">
      <x:alignment vertical="center"/>
    </x:xf>
    <x:xf numFmtId="203" fontId="31" fillId="41" borderId="12" xfId="0" applyNumberFormat="1" applyFont="1" applyFill="1" applyBorder="1" applyAlignment="1">
      <x:alignment vertical="center"/>
    </x:xf>
    <x:xf numFmtId="201" fontId="31" fillId="41" borderId="12" xfId="0" applyNumberFormat="1" applyFont="1" applyFill="1" applyBorder="1" applyAlignment="1">
      <x:alignment vertical="center"/>
    </x:xf>
    <x:xf numFmtId="0" fontId="31" fillId="36" borderId="12" xfId="0" applyNumberFormat="1" applyFont="1" applyFill="1" applyBorder="1" applyAlignment="1">
      <x:alignment horizontal="center" vertical="center"/>
    </x:xf>
    <x:xf numFmtId="202" fontId="31" fillId="36" borderId="13" xfId="0" applyNumberFormat="1" applyFont="1" applyFill="1" applyBorder="1" applyAlignment="1">
      <x:alignment vertical="center"/>
    </x:xf>
    <x:xf numFmtId="202" fontId="27" fillId="41" borderId="13" xfId="0" applyNumberFormat="1" applyFont="1" applyFill="1" applyBorder="1" applyAlignment="1">
      <x:alignment vertical="center"/>
    </x:xf>
    <x:xf numFmtId="203" fontId="27" fillId="41" borderId="13" xfId="0" applyNumberFormat="1" applyFont="1" applyFill="1" applyBorder="1" applyAlignment="1">
      <x:alignment vertical="center"/>
    </x:xf>
    <x:xf numFmtId="201" fontId="27" fillId="41" borderId="13" xfId="0" applyNumberFormat="1" applyFont="1" applyFill="1" applyBorder="1" applyAlignment="1">
      <x:alignment vertical="center"/>
    </x:xf>
    <x:xf numFmtId="202" fontId="31" fillId="41" borderId="13" xfId="0" applyNumberFormat="1" applyFont="1" applyFill="1" applyBorder="1" applyAlignment="1">
      <x:alignment vertical="center"/>
    </x:xf>
    <x:xf numFmtId="203" fontId="31" fillId="41" borderId="13" xfId="0" applyNumberFormat="1" applyFont="1" applyFill="1" applyBorder="1" applyAlignment="1">
      <x:alignment vertical="center"/>
    </x:xf>
    <x:xf numFmtId="201" fontId="31" fillId="41" borderId="13" xfId="0" applyNumberFormat="1" applyFont="1" applyFill="1" applyBorder="1" applyAlignment="1">
      <x:alignment vertical="center"/>
    </x:xf>
    <x:xf numFmtId="0" fontId="31" fillId="36" borderId="13" xfId="0" applyNumberFormat="1" applyFont="1" applyFill="1" applyBorder="1" applyAlignment="1">
      <x:alignment horizontal="center" vertical="center"/>
    </x:xf>
    <x:xf numFmtId="202" fontId="31" fillId="37" borderId="13" xfId="0" applyNumberFormat="1" applyFont="1" applyFill="1" applyBorder="1" applyAlignment="1">
      <x:alignment vertical="center"/>
    </x:xf>
    <x:xf numFmtId="0" fontId="31" fillId="37" borderId="13" xfId="0" applyNumberFormat="1" applyFont="1" applyFill="1" applyBorder="1" applyAlignment="1">
      <x:alignment horizontal="center" vertical="center"/>
    </x:xf>
    <x:xf numFmtId="202" fontId="31" fillId="38" borderId="13" xfId="0" applyNumberFormat="1" applyFont="1" applyFill="1" applyBorder="1" applyAlignment="1">
      <x:alignment vertical="center"/>
    </x:xf>
    <x:xf numFmtId="0" fontId="31" fillId="38" borderId="13" xfId="0" applyNumberFormat="1" applyFont="1" applyFill="1" applyBorder="1" applyAlignment="1">
      <x:alignment horizontal="center" vertical="center"/>
    </x:xf>
    <x:xf numFmtId="202" fontId="31" fillId="39" borderId="13" xfId="0" applyNumberFormat="1" applyFont="1" applyFill="1" applyBorder="1" applyAlignment="1">
      <x:alignment vertical="center"/>
    </x:xf>
    <x:xf numFmtId="0" fontId="31" fillId="39" borderId="13" xfId="0" applyNumberFormat="1" applyFont="1" applyFill="1" applyBorder="1" applyAlignment="1">
      <x:alignment horizontal="center" vertical="center"/>
    </x:xf>
    <x:xf numFmtId="202" fontId="31" fillId="40" borderId="13" xfId="0" applyNumberFormat="1" applyFont="1" applyFill="1" applyBorder="1" applyAlignment="1">
      <x:alignment vertical="center"/>
    </x:xf>
    <x:xf numFmtId="0" fontId="31" fillId="40" borderId="13" xfId="0" applyNumberFormat="1" applyFont="1" applyFill="1" applyBorder="1" applyAlignment="1">
      <x:alignment horizontal="center" vertical="center"/>
    </x:xf>
    <x:xf numFmtId="0" fontId="27" fillId="42" borderId="13" xfId="0" applyNumberFormat="1" applyFont="1" applyFill="1" applyBorder="1" applyAlignment="1">
      <x:alignment horizontal="center" vertical="center"/>
    </x:xf>
    <x:xf numFmtId="0" fontId="32" fillId="42" borderId="13" xfId="0" applyNumberFormat="1" applyFont="1" applyFill="1" applyBorder="1" applyAlignment="1">
      <x:alignment horizontal="center" vertical="center"/>
    </x:xf>
    <x:xf numFmtId="0" fontId="27" fillId="2" borderId="16" xfId="0" applyNumberFormat="1" applyFont="1" applyFill="1" applyBorder="1" applyAlignment="1">
      <x:alignment horizontal="center" vertical="center" wrapText="1"/>
    </x:xf>
    <x:xf numFmtId="200" fontId="27" fillId="2" borderId="16" xfId="0" applyNumberFormat="1" applyFont="1" applyFill="1" applyBorder="1" applyAlignment="1">
      <x:alignment horizontal="center" vertical="center" wrapText="1"/>
    </x:xf>
    <x:xf numFmtId="201" fontId="27" fillId="2" borderId="16" xfId="0" applyNumberFormat="1" applyFont="1" applyFill="1" applyBorder="1" applyAlignment="1">
      <x:alignment horizontal="center" vertical="center" wrapText="1"/>
    </x:xf>
    <x:xf numFmtId="0" fontId="27" fillId="4" borderId="16" xfId="0" applyNumberFormat="1" applyFont="1" applyFill="1" applyBorder="1" applyAlignment="1">
      <x:alignment horizontal="center" vertical="center" wrapText="1"/>
    </x:xf>
    <x:xf numFmtId="200" fontId="27" fillId="4" borderId="16" xfId="0" applyNumberFormat="1" applyFont="1" applyFill="1" applyBorder="1" applyAlignment="1">
      <x:alignment horizontal="center" vertical="center" wrapText="1"/>
    </x:xf>
    <x:xf numFmtId="201" fontId="27" fillId="4" borderId="16" xfId="0" applyNumberFormat="1" applyFont="1" applyFill="1" applyBorder="1" applyAlignment="1">
      <x:alignment horizontal="center" vertical="center" wrapText="1"/>
    </x:xf>
    <x:xf numFmtId="201" fontId="26" fillId="41" borderId="16" xfId="0" applyNumberFormat="1" applyFont="1" applyFill="1" applyBorder="1" applyAlignment="1">
      <x:alignment vertical="center" wrapText="1"/>
    </x:xf>
    <x:xf numFmtId="201" fontId="26" fillId="41" borderId="13" xfId="0" applyNumberFormat="1" applyFont="1" applyFill="1" applyBorder="1" applyAlignment="1">
      <x:alignment vertical="center" wrapText="1"/>
    </x:xf>
    <x:xf numFmtId="201" fontId="31" fillId="41" borderId="16" xfId="0" applyNumberFormat="1" applyFont="1" applyFill="1" applyBorder="1" applyAlignment="1">
      <x:alignment vertical="center" wrapText="1"/>
    </x:xf>
    <x:xf numFmtId="201" fontId="31" fillId="41" borderId="13" xfId="0" applyNumberFormat="1" applyFont="1" applyFill="1" applyBorder="1" applyAlignment="1">
      <x:alignment vertical="center" wrapText="1"/>
    </x:xf>
    <x:xf numFmtId="0" fontId="31" fillId="3" borderId="16" xfId="0" applyNumberFormat="1" applyFont="1" applyFill="1" applyBorder="1" applyAlignment="1">
      <x:alignment vertical="center" wrapText="1"/>
    </x:xf>
    <x:xf numFmtId="0" fontId="31" fillId="3" borderId="16" xfId="0" applyNumberFormat="1" applyFont="1" applyFill="1" applyBorder="1" applyAlignment="1">
      <x:alignment vertical="top" wrapText="1"/>
    </x:xf>
    <x:xf numFmtId="0" fontId="31" fillId="3" borderId="13" xfId="0" applyNumberFormat="1" applyFont="1" applyFill="1" applyBorder="1" applyAlignment="1">
      <x:alignment vertical="center" wrapText="1"/>
    </x:xf>
    <x:xf numFmtId="0" fontId="31" fillId="3" borderId="13" xfId="0" applyNumberFormat="1" applyFont="1" applyFill="1" applyBorder="1" applyAlignment="1">
      <x:alignment vertical="top" wrapText="1"/>
    </x:xf>
    <x:xf numFmtId="0" fontId="31" fillId="2" borderId="16" xfId="0" applyNumberFormat="1" applyFont="1" applyFill="1" applyBorder="1" applyAlignment="1">
      <x:alignment vertical="center" wrapText="1"/>
    </x:xf>
    <x:xf numFmtId="0" fontId="31" fillId="2" borderId="16" xfId="0" applyNumberFormat="1" applyFont="1" applyFill="1" applyBorder="1" applyAlignment="1">
      <x:alignment vertical="top" wrapText="1"/>
    </x:xf>
    <x:xf numFmtId="0" fontId="31" fillId="4" borderId="16" xfId="0" applyNumberFormat="1" applyFont="1" applyFill="1" applyBorder="1" applyAlignment="1">
      <x:alignment vertical="center" wrapText="1"/>
    </x:xf>
    <x:xf numFmtId="0" fontId="31" fillId="4" borderId="16" xfId="0" applyNumberFormat="1" applyFont="1" applyFill="1" applyBorder="1" applyAlignment="1">
      <x:alignment vertical="top" wrapText="1"/>
    </x:xf>
    <x:xf numFmtId="0" fontId="31" fillId="7" borderId="16" xfId="0" applyNumberFormat="1" applyFont="1" applyFill="1" applyBorder="1" applyAlignment="1">
      <x:alignment vertical="center" wrapText="1"/>
    </x:xf>
    <x:xf numFmtId="0" fontId="31" fillId="7" borderId="16" xfId="0" applyNumberFormat="1" applyFont="1" applyFill="1" applyBorder="1" applyAlignment="1">
      <x:alignment vertical="top" wrapText="1"/>
    </x:xf>
    <x:xf numFmtId="0" fontId="27" fillId="43" borderId="16" xfId="0" applyNumberFormat="1" applyFont="1" applyFill="1" applyBorder="1" applyAlignment="1">
      <x:alignment vertical="center" wrapText="1"/>
    </x:xf>
    <x:xf numFmtId="200" fontId="27" fillId="43" borderId="16" xfId="0" applyNumberFormat="1" applyFont="1" applyFill="1" applyBorder="1" applyAlignment="1">
      <x:alignment vertical="center" wrapText="1"/>
    </x:xf>
    <x:xf numFmtId="201" fontId="27" fillId="43" borderId="16" xfId="0" applyNumberFormat="1" applyFont="1" applyFill="1" applyBorder="1" applyAlignment="1">
      <x:alignment vertical="center" wrapText="1"/>
    </x:xf>
    <x:xf numFmtId="202" fontId="27" fillId="43" borderId="16" xfId="0" applyNumberFormat="1" applyFont="1" applyFill="1" applyBorder="1" applyAlignment="1">
      <x:alignment vertical="center" wrapText="1"/>
    </x:xf>
    <x:xf numFmtId="203" fontId="27" fillId="43" borderId="16" xfId="0" applyNumberFormat="1" applyFont="1" applyFill="1" applyBorder="1" applyAlignment="1">
      <x:alignment vertical="center" wrapText="1"/>
    </x:xf>
    <x:xf numFmtId="204" fontId="27" fillId="43" borderId="16" xfId="0" applyNumberFormat="1" applyFont="1" applyFill="1" applyBorder="1" applyAlignment="1">
      <x:alignment vertical="center" wrapText="1"/>
    </x:xf>
    <x:xf numFmtId="0" fontId="31" fillId="43" borderId="16" xfId="0" applyNumberFormat="1" applyFont="1" applyFill="1" applyBorder="1" applyAlignment="1">
      <x:alignment vertical="center" wrapText="1"/>
    </x:xf>
    <x:xf numFmtId="0" fontId="31" fillId="43" borderId="16" xfId="0" applyNumberFormat="1" applyFont="1" applyFill="1" applyBorder="1" applyAlignment="1">
      <x:alignment vertical="top" wrapText="1"/>
    </x:xf>
    <x:xf numFmtId="0" fontId="27" fillId="43" borderId="16" xfId="0" applyNumberFormat="1" applyFont="1" applyFill="1" applyBorder="1" applyAlignment="1">
      <x:alignment vertical="top" wrapText="1"/>
    </x:xf>
    <x:xf numFmtId="201" fontId="31" fillId="9" borderId="16" xfId="0" applyNumberFormat="1" applyFont="1" applyFill="1" applyBorder="1" applyAlignment="1">
      <x:alignment vertical="center" wrapText="1"/>
    </x:xf>
    <x:xf numFmtId="201" fontId="31" fillId="9" borderId="13" xfId="0" applyNumberFormat="1" applyFont="1" applyFill="1" applyBorder="1" applyAlignment="1">
      <x:alignment vertical="center" wrapText="1"/>
    </x:xf>
    <x:xf numFmtId="0" fontId="27" fillId="2" borderId="16" xfId="0" applyNumberFormat="1" applyFont="1" applyFill="1" applyBorder="1" applyAlignment="1">
      <x:alignment horizontal="left" vertical="center" wrapText="1"/>
    </x:xf>
    <x:xf numFmtId="0" fontId="27" fillId="2" borderId="13" xfId="0" applyNumberFormat="1" applyFont="1" applyFill="1" applyBorder="1" applyAlignment="1">
      <x:alignment horizontal="left" vertical="center" wrapText="1"/>
    </x:xf>
    <x:xf numFmtId="0" fontId="27" fillId="3" borderId="16" xfId="0" applyNumberFormat="1" applyFont="1" applyFill="1" applyBorder="1" applyAlignment="1">
      <x:alignment horizontal="left" vertical="center" wrapText="1"/>
    </x:xf>
    <x:xf numFmtId="0" fontId="27" fillId="3" borderId="13" xfId="0" applyNumberFormat="1" applyFont="1" applyFill="1" applyBorder="1" applyAlignment="1">
      <x:alignment horizontal="left" vertical="center" wrapText="1"/>
    </x:xf>
    <x:xf numFmtId="0" fontId="27" fillId="4" borderId="16" xfId="0" applyNumberFormat="1" applyFont="1" applyFill="1" applyBorder="1" applyAlignment="1">
      <x:alignment horizontal="left" vertical="center" wrapText="1"/>
    </x:xf>
    <x:xf numFmtId="0" fontId="27" fillId="4" borderId="13" xfId="0" applyNumberFormat="1" applyFont="1" applyFill="1" applyBorder="1" applyAlignment="1">
      <x:alignment horizontal="left" vertical="center" wrapText="1"/>
    </x:xf>
    <x:xf numFmtId="0" fontId="27" fillId="7" borderId="16" xfId="0" applyNumberFormat="1" applyFont="1" applyFill="1" applyBorder="1" applyAlignment="1">
      <x:alignment horizontal="left" vertical="center" wrapText="1"/>
    </x:xf>
    <x:xf numFmtId="0" fontId="27" fillId="7" borderId="13" xfId="0" applyNumberFormat="1" applyFont="1" applyFill="1" applyBorder="1" applyAlignment="1">
      <x:alignment horizontal="left" vertical="center" wrapText="1"/>
    </x:xf>
    <x:xf numFmtId="0" fontId="27" fillId="43" borderId="16" xfId="0" applyNumberFormat="1" applyFont="1" applyFill="1" applyBorder="1" applyAlignment="1">
      <x:alignment horizontal="left" vertical="center" wrapText="1"/>
    </x:xf>
    <x:xf numFmtId="0" fontId="27" fillId="2" borderId="15" xfId="0" applyNumberFormat="1" applyFont="1" applyFill="1" applyBorder="1" applyAlignment="1">
      <x:alignment horizontal="left" vertical="center" wrapText="1"/>
    </x:xf>
    <x:xf numFmtId="0" fontId="27" fillId="2" borderId="13" xfId="0" applyNumberFormat="1" applyFont="1" applyFill="1" applyBorder="1" applyAlignment="1">
      <x:alignment horizontal="center" vertical="center" wrapText="1"/>
    </x:xf>
    <x:xf numFmtId="0" fontId="27" fillId="4" borderId="13" xfId="0" applyNumberFormat="1" applyFont="1" applyFill="1" applyBorder="1" applyAlignment="1">
      <x:alignment horizontal="center" vertical="center" wrapText="1"/>
    </x:xf>
    <x:xf numFmtId="0" fontId="27" fillId="7" borderId="16" xfId="0" applyNumberFormat="1" applyFont="1" applyFill="1" applyBorder="1" applyAlignment="1">
      <x:alignment horizontal="center" vertical="center" wrapText="1"/>
    </x:xf>
    <x:xf numFmtId="0" fontId="27" fillId="7" borderId="13" xfId="0" applyNumberFormat="1" applyFont="1" applyFill="1" applyBorder="1" applyAlignment="1">
      <x:alignment horizontal="center" vertical="center" wrapText="1"/>
    </x:xf>
    <x:xf numFmtId="0" fontId="27" fillId="43" borderId="16" xfId="0" applyNumberFormat="1" applyFont="1" applyFill="1" applyBorder="1" applyAlignment="1">
      <x:alignment horizontal="center" vertical="center" wrapText="1"/>
    </x:xf>
    <x:xf numFmtId="0" fontId="27" fillId="2" borderId="15" xfId="0" applyNumberFormat="1" applyFont="1" applyFill="1" applyBorder="1" applyAlignment="1">
      <x:alignment horizontal="center" vertical="center" wrapText="1"/>
    </x:xf>
    <x:xf numFmtId="200" fontId="27" fillId="2" borderId="16" xfId="0" applyNumberFormat="1" applyFont="1" applyFill="1" applyBorder="1" applyAlignment="1">
      <x:alignment horizontal="right" vertical="center" wrapText="1"/>
    </x:xf>
    <x:xf numFmtId="201" fontId="27" fillId="2" borderId="16" xfId="0" applyNumberFormat="1" applyFont="1" applyFill="1" applyBorder="1" applyAlignment="1">
      <x:alignment horizontal="right" vertical="center" wrapText="1"/>
    </x:xf>
    <x:xf numFmtId="202" fontId="27" fillId="2" borderId="16" xfId="0" applyNumberFormat="1" applyFont="1" applyFill="1" applyBorder="1" applyAlignment="1">
      <x:alignment horizontal="right" vertical="center" wrapText="1"/>
    </x:xf>
    <x:xf numFmtId="203" fontId="27" fillId="2" borderId="16" xfId="0" applyNumberFormat="1" applyFont="1" applyFill="1" applyBorder="1" applyAlignment="1">
      <x:alignment horizontal="right" vertical="center" wrapText="1"/>
    </x:xf>
    <x:xf numFmtId="204" fontId="27" fillId="2" borderId="16" xfId="0" applyNumberFormat="1" applyFont="1" applyFill="1" applyBorder="1" applyAlignment="1">
      <x:alignment horizontal="right" vertical="center" wrapText="1"/>
    </x:xf>
    <x:xf numFmtId="200" fontId="27" fillId="2" borderId="13" xfId="0" applyNumberFormat="1" applyFont="1" applyFill="1" applyBorder="1" applyAlignment="1">
      <x:alignment horizontal="right" vertical="center" wrapText="1"/>
    </x:xf>
    <x:xf numFmtId="201" fontId="27" fillId="2" borderId="13" xfId="0" applyNumberFormat="1" applyFont="1" applyFill="1" applyBorder="1" applyAlignment="1">
      <x:alignment horizontal="right" vertical="center" wrapText="1"/>
    </x:xf>
    <x:xf numFmtId="202" fontId="27" fillId="2" borderId="13" xfId="0" applyNumberFormat="1" applyFont="1" applyFill="1" applyBorder="1" applyAlignment="1">
      <x:alignment horizontal="right" vertical="center" wrapText="1"/>
    </x:xf>
    <x:xf numFmtId="203" fontId="27" fillId="2" borderId="13" xfId="0" applyNumberFormat="1" applyFont="1" applyFill="1" applyBorder="1" applyAlignment="1">
      <x:alignment horizontal="right" vertical="center" wrapText="1"/>
    </x:xf>
    <x:xf numFmtId="204" fontId="27" fillId="2" borderId="13" xfId="0" applyNumberFormat="1" applyFont="1" applyFill="1" applyBorder="1" applyAlignment="1">
      <x:alignment horizontal="right" vertical="center" wrapText="1"/>
    </x:xf>
    <x:xf numFmtId="200" fontId="27" fillId="3" borderId="16" xfId="0" applyNumberFormat="1" applyFont="1" applyFill="1" applyBorder="1" applyAlignment="1">
      <x:alignment horizontal="right" vertical="center" wrapText="1"/>
    </x:xf>
    <x:xf numFmtId="201" fontId="27" fillId="3" borderId="16" xfId="0" applyNumberFormat="1" applyFont="1" applyFill="1" applyBorder="1" applyAlignment="1">
      <x:alignment horizontal="right" vertical="center" wrapText="1"/>
    </x:xf>
    <x:xf numFmtId="202" fontId="27" fillId="3" borderId="16" xfId="0" applyNumberFormat="1" applyFont="1" applyFill="1" applyBorder="1" applyAlignment="1">
      <x:alignment horizontal="right" vertical="center" wrapText="1"/>
    </x:xf>
    <x:xf numFmtId="203" fontId="27" fillId="3" borderId="16" xfId="0" applyNumberFormat="1" applyFont="1" applyFill="1" applyBorder="1" applyAlignment="1">
      <x:alignment horizontal="right" vertical="center" wrapText="1"/>
    </x:xf>
    <x:xf numFmtId="204" fontId="27" fillId="3" borderId="16" xfId="0" applyNumberFormat="1" applyFont="1" applyFill="1" applyBorder="1" applyAlignment="1">
      <x:alignment horizontal="right" vertical="center" wrapText="1"/>
    </x:xf>
    <x:xf numFmtId="200" fontId="27" fillId="3" borderId="13" xfId="0" applyNumberFormat="1" applyFont="1" applyFill="1" applyBorder="1" applyAlignment="1">
      <x:alignment horizontal="right" vertical="center" wrapText="1"/>
    </x:xf>
    <x:xf numFmtId="201" fontId="27" fillId="3" borderId="13" xfId="0" applyNumberFormat="1" applyFont="1" applyFill="1" applyBorder="1" applyAlignment="1">
      <x:alignment horizontal="right" vertical="center" wrapText="1"/>
    </x:xf>
    <x:xf numFmtId="202" fontId="27" fillId="3" borderId="13" xfId="0" applyNumberFormat="1" applyFont="1" applyFill="1" applyBorder="1" applyAlignment="1">
      <x:alignment horizontal="right" vertical="center" wrapText="1"/>
    </x:xf>
    <x:xf numFmtId="203" fontId="27" fillId="3" borderId="13" xfId="0" applyNumberFormat="1" applyFont="1" applyFill="1" applyBorder="1" applyAlignment="1">
      <x:alignment horizontal="right" vertical="center" wrapText="1"/>
    </x:xf>
    <x:xf numFmtId="204" fontId="27" fillId="3" borderId="13" xfId="0" applyNumberFormat="1" applyFont="1" applyFill="1" applyBorder="1" applyAlignment="1">
      <x:alignment horizontal="right" vertical="center" wrapText="1"/>
    </x:xf>
    <x:xf numFmtId="200" fontId="27" fillId="4" borderId="16" xfId="0" applyNumberFormat="1" applyFont="1" applyFill="1" applyBorder="1" applyAlignment="1">
      <x:alignment horizontal="right" vertical="center" wrapText="1"/>
    </x:xf>
    <x:xf numFmtId="201" fontId="27" fillId="4" borderId="16" xfId="0" applyNumberFormat="1" applyFont="1" applyFill="1" applyBorder="1" applyAlignment="1">
      <x:alignment horizontal="right" vertical="center" wrapText="1"/>
    </x:xf>
    <x:xf numFmtId="202" fontId="27" fillId="4" borderId="16" xfId="0" applyNumberFormat="1" applyFont="1" applyFill="1" applyBorder="1" applyAlignment="1">
      <x:alignment horizontal="right" vertical="center" wrapText="1"/>
    </x:xf>
    <x:xf numFmtId="203" fontId="27" fillId="4" borderId="16" xfId="0" applyNumberFormat="1" applyFont="1" applyFill="1" applyBorder="1" applyAlignment="1">
      <x:alignment horizontal="right" vertical="center" wrapText="1"/>
    </x:xf>
    <x:xf numFmtId="204" fontId="27" fillId="4" borderId="16" xfId="0" applyNumberFormat="1" applyFont="1" applyFill="1" applyBorder="1" applyAlignment="1">
      <x:alignment horizontal="right" vertical="center" wrapText="1"/>
    </x:xf>
    <x:xf numFmtId="200" fontId="27" fillId="4" borderId="13" xfId="0" applyNumberFormat="1" applyFont="1" applyFill="1" applyBorder="1" applyAlignment="1">
      <x:alignment horizontal="right" vertical="center" wrapText="1"/>
    </x:xf>
    <x:xf numFmtId="201" fontId="27" fillId="4" borderId="13" xfId="0" applyNumberFormat="1" applyFont="1" applyFill="1" applyBorder="1" applyAlignment="1">
      <x:alignment horizontal="right" vertical="center" wrapText="1"/>
    </x:xf>
    <x:xf numFmtId="202" fontId="27" fillId="4" borderId="13" xfId="0" applyNumberFormat="1" applyFont="1" applyFill="1" applyBorder="1" applyAlignment="1">
      <x:alignment horizontal="right" vertical="center" wrapText="1"/>
    </x:xf>
    <x:xf numFmtId="203" fontId="27" fillId="4" borderId="13" xfId="0" applyNumberFormat="1" applyFont="1" applyFill="1" applyBorder="1" applyAlignment="1">
      <x:alignment horizontal="right" vertical="center" wrapText="1"/>
    </x:xf>
    <x:xf numFmtId="204" fontId="27" fillId="4" borderId="13" xfId="0" applyNumberFormat="1" applyFont="1" applyFill="1" applyBorder="1" applyAlignment="1">
      <x:alignment horizontal="right" vertical="center" wrapText="1"/>
    </x:xf>
    <x:xf numFmtId="200" fontId="27" fillId="7" borderId="16" xfId="0" applyNumberFormat="1" applyFont="1" applyFill="1" applyBorder="1" applyAlignment="1">
      <x:alignment horizontal="right" vertical="center" wrapText="1"/>
    </x:xf>
    <x:xf numFmtId="201" fontId="27" fillId="7" borderId="16" xfId="0" applyNumberFormat="1" applyFont="1" applyFill="1" applyBorder="1" applyAlignment="1">
      <x:alignment horizontal="right" vertical="center" wrapText="1"/>
    </x:xf>
    <x:xf numFmtId="202" fontId="27" fillId="7" borderId="16" xfId="0" applyNumberFormat="1" applyFont="1" applyFill="1" applyBorder="1" applyAlignment="1">
      <x:alignment horizontal="right" vertical="center" wrapText="1"/>
    </x:xf>
    <x:xf numFmtId="203" fontId="27" fillId="7" borderId="16" xfId="0" applyNumberFormat="1" applyFont="1" applyFill="1" applyBorder="1" applyAlignment="1">
      <x:alignment horizontal="right" vertical="center" wrapText="1"/>
    </x:xf>
    <x:xf numFmtId="204" fontId="27" fillId="7" borderId="16" xfId="0" applyNumberFormat="1" applyFont="1" applyFill="1" applyBorder="1" applyAlignment="1">
      <x:alignment horizontal="right" vertical="center" wrapText="1"/>
    </x:xf>
    <x:xf numFmtId="200" fontId="27" fillId="7" borderId="13" xfId="0" applyNumberFormat="1" applyFont="1" applyFill="1" applyBorder="1" applyAlignment="1">
      <x:alignment horizontal="right" vertical="center" wrapText="1"/>
    </x:xf>
    <x:xf numFmtId="201" fontId="27" fillId="7" borderId="13" xfId="0" applyNumberFormat="1" applyFont="1" applyFill="1" applyBorder="1" applyAlignment="1">
      <x:alignment horizontal="right" vertical="center" wrapText="1"/>
    </x:xf>
    <x:xf numFmtId="202" fontId="27" fillId="7" borderId="13" xfId="0" applyNumberFormat="1" applyFont="1" applyFill="1" applyBorder="1" applyAlignment="1">
      <x:alignment horizontal="right" vertical="center" wrapText="1"/>
    </x:xf>
    <x:xf numFmtId="203" fontId="27" fillId="7" borderId="13" xfId="0" applyNumberFormat="1" applyFont="1" applyFill="1" applyBorder="1" applyAlignment="1">
      <x:alignment horizontal="right" vertical="center" wrapText="1"/>
    </x:xf>
    <x:xf numFmtId="204" fontId="27" fillId="7" borderId="13" xfId="0" applyNumberFormat="1" applyFont="1" applyFill="1" applyBorder="1" applyAlignment="1">
      <x:alignment horizontal="right" vertical="center" wrapText="1"/>
    </x:xf>
    <x:xf numFmtId="201" fontId="31" fillId="9" borderId="16" xfId="0" applyNumberFormat="1" applyFont="1" applyFill="1" applyBorder="1" applyAlignment="1">
      <x:alignment horizontal="right" vertical="center" wrapText="1"/>
    </x:xf>
    <x:xf numFmtId="201" fontId="31" fillId="9" borderId="13" xfId="0" applyNumberFormat="1" applyFont="1" applyFill="1" applyBorder="1" applyAlignment="1">
      <x:alignment horizontal="right" vertical="center" wrapText="1"/>
    </x:xf>
    <x:xf numFmtId="200" fontId="27" fillId="43" borderId="16" xfId="0" applyNumberFormat="1" applyFont="1" applyFill="1" applyBorder="1" applyAlignment="1">
      <x:alignment horizontal="right" vertical="center" wrapText="1"/>
    </x:xf>
    <x:xf numFmtId="201" fontId="27" fillId="43" borderId="16" xfId="0" applyNumberFormat="1" applyFont="1" applyFill="1" applyBorder="1" applyAlignment="1">
      <x:alignment horizontal="right" vertical="center" wrapText="1"/>
    </x:xf>
    <x:xf numFmtId="202" fontId="27" fillId="43" borderId="16" xfId="0" applyNumberFormat="1" applyFont="1" applyFill="1" applyBorder="1" applyAlignment="1">
      <x:alignment horizontal="right" vertical="center" wrapText="1"/>
    </x:xf>
    <x:xf numFmtId="203" fontId="27" fillId="43" borderId="16" xfId="0" applyNumberFormat="1" applyFont="1" applyFill="1" applyBorder="1" applyAlignment="1">
      <x:alignment horizontal="right" vertical="center" wrapText="1"/>
    </x:xf>
    <x:xf numFmtId="204" fontId="27" fillId="43" borderId="16" xfId="0" applyNumberFormat="1" applyFont="1" applyFill="1" applyBorder="1" applyAlignment="1">
      <x:alignment horizontal="right" vertical="center" wrapText="1"/>
    </x:xf>
    <x:xf numFmtId="200" fontId="27" fillId="2" borderId="15" xfId="0" applyNumberFormat="1" applyFont="1" applyFill="1" applyBorder="1" applyAlignment="1">
      <x:alignment horizontal="right" vertical="center" wrapText="1"/>
    </x:xf>
    <x:xf numFmtId="201" fontId="27" fillId="2" borderId="15" xfId="0" applyNumberFormat="1" applyFont="1" applyFill="1" applyBorder="1" applyAlignment="1">
      <x:alignment horizontal="right" vertical="center" wrapText="1"/>
    </x:xf>
    <x:xf numFmtId="202" fontId="27" fillId="2" borderId="15" xfId="0" applyNumberFormat="1" applyFont="1" applyFill="1" applyBorder="1" applyAlignment="1">
      <x:alignment horizontal="right" vertical="center" wrapText="1"/>
    </x:xf>
    <x:xf numFmtId="203" fontId="27" fillId="2" borderId="15" xfId="0" applyNumberFormat="1" applyFont="1" applyFill="1" applyBorder="1" applyAlignment="1">
      <x:alignment horizontal="right" vertical="center" wrapText="1"/>
    </x:xf>
    <x:xf numFmtId="204" fontId="27" fillId="2" borderId="15" xfId="0" applyNumberFormat="1" applyFont="1" applyFill="1" applyBorder="1" applyAlignment="1">
      <x:alignment horizontal="right" vertical="center" wrapText="1"/>
    </x:xf>
    <x:xf numFmtId="0" fontId="26" fillId="2" borderId="16" xfId="0" applyNumberFormat="1" applyFont="1" applyFill="1" applyBorder="1" applyAlignment="1">
      <x:alignment horizontal="center" vertical="center" wrapText="1"/>
    </x:xf>
    <x:xf numFmtId="0" fontId="26" fillId="2" borderId="13" xfId="0" applyNumberFormat="1" applyFont="1" applyFill="1" applyBorder="1" applyAlignment="1">
      <x:alignment horizontal="center" vertical="center" wrapText="1"/>
    </x:xf>
    <x:xf numFmtId="0" fontId="26" fillId="3" borderId="16" xfId="0" applyNumberFormat="1" applyFont="1" applyFill="1" applyBorder="1" applyAlignment="1">
      <x:alignment horizontal="center" vertical="center" wrapText="1"/>
    </x:xf>
    <x:xf numFmtId="0" fontId="26" fillId="3" borderId="13" xfId="0" applyNumberFormat="1" applyFont="1" applyFill="1" applyBorder="1" applyAlignment="1">
      <x:alignment horizontal="center" vertical="center" wrapText="1"/>
    </x:xf>
    <x:xf numFmtId="0" fontId="26" fillId="4" borderId="16" xfId="0" applyNumberFormat="1" applyFont="1" applyFill="1" applyBorder="1" applyAlignment="1">
      <x:alignment horizontal="center" vertical="center" wrapText="1"/>
    </x:xf>
    <x:xf numFmtId="0" fontId="26" fillId="4" borderId="13" xfId="0" applyNumberFormat="1" applyFont="1" applyFill="1" applyBorder="1" applyAlignment="1">
      <x:alignment horizontal="center" vertical="center" wrapText="1"/>
    </x:xf>
    <x:xf numFmtId="0" fontId="26" fillId="7" borderId="16" xfId="0" applyNumberFormat="1" applyFont="1" applyFill="1" applyBorder="1" applyAlignment="1">
      <x:alignment horizontal="center" vertical="center" wrapText="1"/>
    </x:xf>
    <x:xf numFmtId="0" fontId="26" fillId="7" borderId="13" xfId="0" applyNumberFormat="1" applyFont="1" applyFill="1" applyBorder="1" applyAlignment="1">
      <x:alignment horizontal="center" vertical="center" wrapText="1"/>
    </x:xf>
    <x:xf numFmtId="0" fontId="31" fillId="3" borderId="16" xfId="0" applyNumberFormat="1" applyFont="1" applyFill="1" applyBorder="1" applyAlignment="1">
      <x:alignment horizontal="center" vertical="center" wrapText="1"/>
    </x:xf>
    <x:xf numFmtId="0" fontId="31" fillId="3" borderId="13" xfId="0" applyNumberFormat="1" applyFont="1" applyFill="1" applyBorder="1" applyAlignment="1">
      <x:alignment horizontal="center" vertical="center" wrapText="1"/>
    </x:xf>
    <x:xf numFmtId="0" fontId="31" fillId="2" borderId="16" xfId="0" applyNumberFormat="1" applyFont="1" applyFill="1" applyBorder="1" applyAlignment="1">
      <x:alignment horizontal="center" vertical="center" wrapText="1"/>
    </x:xf>
    <x:xf numFmtId="0" fontId="31" fillId="4" borderId="16" xfId="0" applyNumberFormat="1" applyFont="1" applyFill="1" applyBorder="1" applyAlignment="1">
      <x:alignment horizontal="center" vertical="center" wrapText="1"/>
    </x:xf>
    <x:xf numFmtId="0" fontId="31" fillId="7" borderId="16" xfId="0" applyNumberFormat="1" applyFont="1" applyFill="1" applyBorder="1" applyAlignment="1">
      <x:alignment horizontal="center" vertical="center" wrapText="1"/>
    </x:xf>
    <x:xf numFmtId="0" fontId="31" fillId="43" borderId="16" xfId="0" applyNumberFormat="1" applyFont="1" applyFill="1" applyBorder="1" applyAlignment="1">
      <x:alignment horizontal="center" vertical="center" wrapText="1"/>
    </x:xf>
    <x:xf numFmtId="0" fontId="26" fillId="2" borderId="15" xfId="0" applyNumberFormat="1" applyFont="1" applyFill="1" applyBorder="1" applyAlignment="1">
      <x:alignment horizontal="center" vertical="center" wrapText="1"/>
    </x:xf>
    <x:xf numFmtId="0" fontId="31" fillId="3" borderId="16" xfId="0" applyNumberFormat="1" applyFont="1" applyFill="1" applyBorder="1" applyAlignment="1">
      <x:alignment horizontal="left" vertical="center" wrapText="1"/>
    </x:xf>
    <x:xf numFmtId="0" fontId="31" fillId="3" borderId="13" xfId="0" applyNumberFormat="1" applyFont="1" applyFill="1" applyBorder="1" applyAlignment="1">
      <x:alignment horizontal="left" vertical="center" wrapText="1"/>
    </x:xf>
    <x:xf numFmtId="0" fontId="31" fillId="2" borderId="16" xfId="0" applyNumberFormat="1" applyFont="1" applyFill="1" applyBorder="1" applyAlignment="1">
      <x:alignment horizontal="left" vertical="center" wrapText="1"/>
    </x:xf>
    <x:xf numFmtId="0" fontId="31" fillId="4" borderId="16" xfId="0" applyNumberFormat="1" applyFont="1" applyFill="1" applyBorder="1" applyAlignment="1">
      <x:alignment horizontal="left" vertical="center" wrapText="1"/>
    </x:xf>
    <x:xf numFmtId="0" fontId="31" fillId="7" borderId="16" xfId="0" applyNumberFormat="1" applyFont="1" applyFill="1" applyBorder="1" applyAlignment="1">
      <x:alignment horizontal="left" vertical="center" wrapText="1"/>
    </x:xf>
    <x:xf numFmtId="0" fontId="31" fillId="43" borderId="16" xfId="0" applyNumberFormat="1" applyFont="1" applyFill="1" applyBorder="1" applyAlignment="1">
      <x:alignment horizontal="left" vertical="center" wrapText="1"/>
    </x:xf>
    <x:xf numFmtId="0" fontId="27" fillId="2" borderId="16" xfId="0" applyNumberFormat="1" applyFont="1" applyFill="1" applyBorder="1" applyAlignment="1">
      <x:alignment horizontal="left" vertical="top" wrapText="1"/>
    </x:xf>
    <x:xf numFmtId="0" fontId="27" fillId="2" borderId="13" xfId="0" applyNumberFormat="1" applyFont="1" applyFill="1" applyBorder="1" applyAlignment="1">
      <x:alignment horizontal="left" vertical="top" wrapText="1"/>
    </x:xf>
    <x:xf numFmtId="0" fontId="27" fillId="3" borderId="16" xfId="0" applyNumberFormat="1" applyFont="1" applyFill="1" applyBorder="1" applyAlignment="1">
      <x:alignment horizontal="left" vertical="top" wrapText="1"/>
    </x:xf>
    <x:xf numFmtId="0" fontId="27" fillId="3" borderId="13" xfId="0" applyNumberFormat="1" applyFont="1" applyFill="1" applyBorder="1" applyAlignment="1">
      <x:alignment horizontal="left" vertical="top" wrapText="1"/>
    </x:xf>
    <x:xf numFmtId="0" fontId="27" fillId="4" borderId="16" xfId="0" applyNumberFormat="1" applyFont="1" applyFill="1" applyBorder="1" applyAlignment="1">
      <x:alignment horizontal="left" vertical="top" wrapText="1"/>
    </x:xf>
    <x:xf numFmtId="0" fontId="27" fillId="4" borderId="13" xfId="0" applyNumberFormat="1" applyFont="1" applyFill="1" applyBorder="1" applyAlignment="1">
      <x:alignment horizontal="left" vertical="top" wrapText="1"/>
    </x:xf>
    <x:xf numFmtId="0" fontId="27" fillId="7" borderId="16" xfId="0" applyNumberFormat="1" applyFont="1" applyFill="1" applyBorder="1" applyAlignment="1">
      <x:alignment horizontal="left" vertical="top" wrapText="1"/>
    </x:xf>
    <x:xf numFmtId="0" fontId="27" fillId="7" borderId="13" xfId="0" applyNumberFormat="1" applyFont="1" applyFill="1" applyBorder="1" applyAlignment="1">
      <x:alignment horizontal="left" vertical="top" wrapText="1"/>
    </x:xf>
    <x:xf numFmtId="0" fontId="31" fillId="3" borderId="16" xfId="0" applyNumberFormat="1" applyFont="1" applyFill="1" applyBorder="1" applyAlignment="1">
      <x:alignment horizontal="left" vertical="top" wrapText="1"/>
    </x:xf>
    <x:xf numFmtId="0" fontId="31" fillId="3" borderId="13" xfId="0" applyNumberFormat="1" applyFont="1" applyFill="1" applyBorder="1" applyAlignment="1">
      <x:alignment horizontal="left" vertical="top" wrapText="1"/>
    </x:xf>
    <x:xf numFmtId="0" fontId="31" fillId="2" borderId="16" xfId="0" applyNumberFormat="1" applyFont="1" applyFill="1" applyBorder="1" applyAlignment="1">
      <x:alignment horizontal="left" vertical="top" wrapText="1"/>
    </x:xf>
    <x:xf numFmtId="0" fontId="31" fillId="4" borderId="16" xfId="0" applyNumberFormat="1" applyFont="1" applyFill="1" applyBorder="1" applyAlignment="1">
      <x:alignment horizontal="left" vertical="top" wrapText="1"/>
    </x:xf>
    <x:xf numFmtId="0" fontId="31" fillId="7" borderId="16" xfId="0" applyNumberFormat="1" applyFont="1" applyFill="1" applyBorder="1" applyAlignment="1">
      <x:alignment horizontal="left" vertical="top" wrapText="1"/>
    </x:xf>
    <x:xf numFmtId="0" fontId="31" fillId="43" borderId="16" xfId="0" applyNumberFormat="1" applyFont="1" applyFill="1" applyBorder="1" applyAlignment="1">
      <x:alignment horizontal="left" vertical="top" wrapText="1"/>
    </x:xf>
    <x:xf numFmtId="0" fontId="27" fillId="43" borderId="16" xfId="0" applyNumberFormat="1" applyFont="1" applyFill="1" applyBorder="1" applyAlignment="1">
      <x:alignment horizontal="left" vertical="top" wrapText="1"/>
    </x:xf>
    <x:xf numFmtId="0" fontId="27" fillId="2" borderId="15" xfId="0" applyNumberFormat="1" applyFont="1" applyFill="1" applyBorder="1" applyAlignment="1">
      <x:alignment horizontal="left" vertical="top" wrapText="1"/>
    </x:xf>
    <x:xf numFmtId="202" fontId="31" fillId="3" borderId="12" xfId="0" applyNumberFormat="1" applyFont="1" applyFill="1" applyBorder="1" applyAlignment="1">
      <x:alignment vertical="center"/>
    </x:xf>
    <x:xf numFmtId="202" fontId="31" fillId="9" borderId="12" xfId="0" applyNumberFormat="1" applyFont="1" applyFill="1" applyBorder="1" applyAlignment="1">
      <x:alignment vertical="center"/>
    </x:xf>
    <x:xf numFmtId="203" fontId="31" fillId="9" borderId="12" xfId="0" applyNumberFormat="1" applyFont="1" applyFill="1" applyBorder="1" applyAlignment="1">
      <x:alignment vertical="center"/>
    </x:xf>
    <x:xf numFmtId="201" fontId="31" fillId="9" borderId="12" xfId="0" applyNumberFormat="1" applyFont="1" applyFill="1" applyBorder="1" applyAlignment="1">
      <x:alignment vertical="center"/>
    </x:xf>
    <x:xf numFmtId="0" fontId="31" fillId="3" borderId="12" xfId="0" applyNumberFormat="1" applyFont="1" applyFill="1" applyBorder="1" applyAlignment="1">
      <x:alignment horizontal="center" vertical="center"/>
    </x:xf>
    <x:xf numFmtId="202" fontId="31" fillId="3" borderId="13" xfId="0" applyNumberFormat="1" applyFont="1" applyFill="1" applyBorder="1" applyAlignment="1">
      <x:alignment vertical="center"/>
    </x:xf>
    <x:xf numFmtId="202" fontId="31" fillId="9" borderId="13" xfId="0" applyNumberFormat="1" applyFont="1" applyFill="1" applyBorder="1" applyAlignment="1">
      <x:alignment vertical="center"/>
    </x:xf>
    <x:xf numFmtId="203" fontId="31" fillId="9" borderId="13" xfId="0" applyNumberFormat="1" applyFont="1" applyFill="1" applyBorder="1" applyAlignment="1">
      <x:alignment vertical="center"/>
    </x:xf>
    <x:xf numFmtId="201" fontId="31" fillId="9" borderId="13" xfId="0" applyNumberFormat="1" applyFont="1" applyFill="1" applyBorder="1" applyAlignment="1">
      <x:alignment vertical="center"/>
    </x:xf>
    <x:xf numFmtId="0" fontId="31" fillId="3" borderId="13" xfId="0" applyNumberFormat="1" applyFont="1" applyFill="1" applyBorder="1" applyAlignment="1">
      <x:alignment horizontal="center" vertical="center"/>
    </x:xf>
    <x:xf numFmtId="202" fontId="31" fillId="2" borderId="13" xfId="0" applyNumberFormat="1" applyFont="1" applyFill="1" applyBorder="1" applyAlignment="1">
      <x:alignment vertical="center"/>
    </x:xf>
    <x:xf numFmtId="0" fontId="31" fillId="2" borderId="13" xfId="0" applyNumberFormat="1" applyFont="1" applyFill="1" applyBorder="1" applyAlignment="1">
      <x:alignment horizontal="center" vertical="center"/>
    </x:xf>
    <x:xf numFmtId="202" fontId="31" fillId="4" borderId="13" xfId="0" applyNumberFormat="1" applyFont="1" applyFill="1" applyBorder="1" applyAlignment="1">
      <x:alignment vertical="center"/>
    </x:xf>
    <x:xf numFmtId="0" fontId="31" fillId="4" borderId="13" xfId="0" applyNumberFormat="1" applyFont="1" applyFill="1" applyBorder="1" applyAlignment="1">
      <x:alignment horizontal="center" vertical="center"/>
    </x:xf>
    <x:xf numFmtId="0" fontId="32" fillId="34" borderId="13" xfId="0" applyNumberFormat="1" applyFont="1" applyFill="1" applyBorder="1" applyAlignment="1">
      <x:alignment horizontal="center" vertical="center"/>
    </x:xf>
    <x:xf numFmtId="202" fontId="31" fillId="7" borderId="13" xfId="0" applyNumberFormat="1" applyFont="1" applyFill="1" applyBorder="1" applyAlignment="1">
      <x:alignment vertical="center"/>
    </x:xf>
    <x:xf numFmtId="0" fontId="31" fillId="7" borderId="13" xfId="0" applyNumberFormat="1" applyFont="1" applyFill="1" applyBorder="1" applyAlignment="1">
      <x:alignment horizontal="center" vertical="center"/>
    </x:xf>
    <x:xf numFmtId="202" fontId="31" fillId="33" borderId="13" xfId="0" applyNumberFormat="1" applyFont="1" applyFill="1" applyBorder="1" applyAlignment="1">
      <x:alignment vertical="center"/>
    </x:xf>
    <x:xf numFmtId="0" fontId="31" fillId="33" borderId="13" xfId="0" applyNumberFormat="1" applyFont="1" applyFill="1" applyBorder="1" applyAlignment="1">
      <x:alignment horizontal="center" vertical="center"/>
    </x:xf>
    <x:xf numFmtId="0" fontId="27" fillId="3" borderId="12" xfId="0" applyNumberFormat="1" applyFont="1" applyFill="1" applyBorder="1" applyAlignment="1">
      <x:alignment horizontal="left" vertical="center"/>
    </x:xf>
    <x:xf numFmtId="0" fontId="27" fillId="3" borderId="13" xfId="0" applyNumberFormat="1" applyFont="1" applyFill="1" applyBorder="1" applyAlignment="1">
      <x:alignment horizontal="left" vertical="center"/>
    </x:xf>
    <x:xf numFmtId="0" fontId="27" fillId="2" borderId="13" xfId="0" applyNumberFormat="1" applyFont="1" applyFill="1" applyBorder="1" applyAlignment="1">
      <x:alignment horizontal="left" vertical="center"/>
    </x:xf>
    <x:xf numFmtId="0" fontId="27" fillId="4" borderId="13" xfId="0" applyNumberFormat="1" applyFont="1" applyFill="1" applyBorder="1" applyAlignment="1">
      <x:alignment horizontal="left" vertical="center"/>
    </x:xf>
    <x:xf numFmtId="0" fontId="27" fillId="7" borderId="13" xfId="0" applyNumberFormat="1" applyFont="1" applyFill="1" applyBorder="1" applyAlignment="1">
      <x:alignment horizontal="left" vertical="center"/>
    </x:xf>
    <x:xf numFmtId="0" fontId="27" fillId="33" borderId="13" xfId="0" applyNumberFormat="1" applyFont="1" applyFill="1" applyBorder="1" applyAlignment="1">
      <x:alignment horizontal="left" vertical="center"/>
    </x:xf>
    <x:xf numFmtId="0" fontId="27" fillId="33" borderId="15" xfId="0" applyNumberFormat="1" applyFont="1" applyFill="1" applyBorder="1" applyAlignment="1">
      <x:alignment horizontal="left" vertical="center"/>
    </x:xf>
    <x:xf numFmtId="202" fontId="27" fillId="3" borderId="12" xfId="0" applyNumberFormat="1" applyFont="1" applyFill="1" applyBorder="1" applyAlignment="1">
      <x:alignment horizontal="right" vertical="center"/>
    </x:xf>
    <x:xf numFmtId="202" fontId="27" fillId="3" borderId="13" xfId="0" applyNumberFormat="1" applyFont="1" applyFill="1" applyBorder="1" applyAlignment="1">
      <x:alignment horizontal="right" vertical="center"/>
    </x:xf>
    <x:xf numFmtId="202" fontId="27" fillId="2" borderId="13" xfId="0" applyNumberFormat="1" applyFont="1" applyFill="1" applyBorder="1" applyAlignment="1">
      <x:alignment horizontal="right" vertical="center"/>
    </x:xf>
    <x:xf numFmtId="202" fontId="27" fillId="4" borderId="13" xfId="0" applyNumberFormat="1" applyFont="1" applyFill="1" applyBorder="1" applyAlignment="1">
      <x:alignment horizontal="right" vertical="center"/>
    </x:xf>
    <x:xf numFmtId="202" fontId="27" fillId="7" borderId="13" xfId="0" applyNumberFormat="1" applyFont="1" applyFill="1" applyBorder="1" applyAlignment="1">
      <x:alignment horizontal="right" vertical="center"/>
    </x:xf>
    <x:xf numFmtId="202" fontId="27" fillId="33" borderId="13" xfId="0" applyNumberFormat="1" applyFont="1" applyFill="1" applyBorder="1" applyAlignment="1">
      <x:alignment horizontal="right" vertical="center"/>
    </x:xf>
    <x:xf numFmtId="202" fontId="27" fillId="33" borderId="15" xfId="0" applyNumberFormat="1" applyFont="1" applyFill="1" applyBorder="1" applyAlignment="1">
      <x:alignment horizontal="right" vertical="center"/>
    </x:xf>
    <x:xf numFmtId="202" fontId="31" fillId="3" borderId="12" xfId="0" applyNumberFormat="1" applyFont="1" applyFill="1" applyBorder="1" applyAlignment="1">
      <x:alignment horizontal="right" vertical="center"/>
    </x:xf>
    <x:xf numFmtId="205" fontId="27" fillId="3" borderId="12" xfId="0" applyNumberFormat="1" applyFont="1" applyFill="1" applyBorder="1" applyAlignment="1">
      <x:alignment horizontal="right" vertical="center"/>
    </x:xf>
    <x:xf numFmtId="202" fontId="31" fillId="9" borderId="12" xfId="0" applyNumberFormat="1" applyFont="1" applyFill="1" applyBorder="1" applyAlignment="1">
      <x:alignment horizontal="right" vertical="center"/>
    </x:xf>
    <x:xf numFmtId="203" fontId="31" fillId="9" borderId="12" xfId="0" applyNumberFormat="1" applyFont="1" applyFill="1" applyBorder="1" applyAlignment="1">
      <x:alignment horizontal="right" vertical="center"/>
    </x:xf>
    <x:xf numFmtId="201" fontId="31" fillId="9" borderId="12" xfId="0" applyNumberFormat="1" applyFont="1" applyFill="1" applyBorder="1" applyAlignment="1">
      <x:alignment horizontal="right" vertical="center"/>
    </x:xf>
    <x:xf numFmtId="201" fontId="27" fillId="3" borderId="12" xfId="0" applyNumberFormat="1" applyFont="1" applyFill="1" applyBorder="1" applyAlignment="1">
      <x:alignment horizontal="right" vertical="center"/>
    </x:xf>
    <x:xf numFmtId="205" fontId="27" fillId="3" borderId="13" xfId="0" applyNumberFormat="1" applyFont="1" applyFill="1" applyBorder="1" applyAlignment="1">
      <x:alignment horizontal="right" vertical="center"/>
    </x:xf>
    <x:xf numFmtId="203" fontId="27" fillId="3" borderId="13" xfId="0" applyNumberFormat="1" applyFont="1" applyFill="1" applyBorder="1" applyAlignment="1">
      <x:alignment horizontal="right" vertical="center"/>
    </x:xf>
    <x:xf numFmtId="201" fontId="27" fillId="3" borderId="13" xfId="0" applyNumberFormat="1" applyFont="1" applyFill="1" applyBorder="1" applyAlignment="1">
      <x:alignment horizontal="right" vertical="center"/>
    </x:xf>
    <x:xf numFmtId="202" fontId="31" fillId="3" borderId="13" xfId="0" applyNumberFormat="1" applyFont="1" applyFill="1" applyBorder="1" applyAlignment="1">
      <x:alignment horizontal="right" vertical="center"/>
    </x:xf>
    <x:xf numFmtId="202" fontId="31" fillId="9" borderId="13" xfId="0" applyNumberFormat="1" applyFont="1" applyFill="1" applyBorder="1" applyAlignment="1">
      <x:alignment horizontal="right" vertical="center"/>
    </x:xf>
    <x:xf numFmtId="203" fontId="31" fillId="9" borderId="13" xfId="0" applyNumberFormat="1" applyFont="1" applyFill="1" applyBorder="1" applyAlignment="1">
      <x:alignment horizontal="right" vertical="center"/>
    </x:xf>
    <x:xf numFmtId="201" fontId="31" fillId="9" borderId="13" xfId="0" applyNumberFormat="1" applyFont="1" applyFill="1" applyBorder="1" applyAlignment="1">
      <x:alignment horizontal="right" vertical="center"/>
    </x:xf>
    <x:xf numFmtId="205" fontId="27" fillId="2" borderId="13" xfId="0" applyNumberFormat="1" applyFont="1" applyFill="1" applyBorder="1" applyAlignment="1">
      <x:alignment horizontal="right" vertical="center"/>
    </x:xf>
    <x:xf numFmtId="203" fontId="27" fillId="2" borderId="13" xfId="0" applyNumberFormat="1" applyFont="1" applyFill="1" applyBorder="1" applyAlignment="1">
      <x:alignment horizontal="right" vertical="center"/>
    </x:xf>
    <x:xf numFmtId="201" fontId="27" fillId="2" borderId="13" xfId="0" applyNumberFormat="1" applyFont="1" applyFill="1" applyBorder="1" applyAlignment="1">
      <x:alignment horizontal="right" vertical="center"/>
    </x:xf>
    <x:xf numFmtId="202" fontId="31" fillId="2" borderId="13" xfId="0" applyNumberFormat="1" applyFont="1" applyFill="1" applyBorder="1" applyAlignment="1">
      <x:alignment horizontal="right" vertical="center"/>
    </x:xf>
    <x:xf numFmtId="205" fontId="27" fillId="4" borderId="13" xfId="0" applyNumberFormat="1" applyFont="1" applyFill="1" applyBorder="1" applyAlignment="1">
      <x:alignment horizontal="right" vertical="center"/>
    </x:xf>
    <x:xf numFmtId="203" fontId="27" fillId="4" borderId="13" xfId="0" applyNumberFormat="1" applyFont="1" applyFill="1" applyBorder="1" applyAlignment="1">
      <x:alignment horizontal="right" vertical="center"/>
    </x:xf>
    <x:xf numFmtId="201" fontId="27" fillId="4" borderId="13" xfId="0" applyNumberFormat="1" applyFont="1" applyFill="1" applyBorder="1" applyAlignment="1">
      <x:alignment horizontal="right" vertical="center"/>
    </x:xf>
    <x:xf numFmtId="202" fontId="31" fillId="4" borderId="13" xfId="0" applyNumberFormat="1" applyFont="1" applyFill="1" applyBorder="1" applyAlignment="1">
      <x:alignment horizontal="right" vertical="center"/>
    </x:xf>
    <x:xf numFmtId="205" fontId="27" fillId="7" borderId="13" xfId="0" applyNumberFormat="1" applyFont="1" applyFill="1" applyBorder="1" applyAlignment="1">
      <x:alignment horizontal="right" vertical="center"/>
    </x:xf>
    <x:xf numFmtId="203" fontId="27" fillId="7" borderId="13" xfId="0" applyNumberFormat="1" applyFont="1" applyFill="1" applyBorder="1" applyAlignment="1">
      <x:alignment horizontal="right" vertical="center"/>
    </x:xf>
    <x:xf numFmtId="201" fontId="27" fillId="7" borderId="13" xfId="0" applyNumberFormat="1" applyFont="1" applyFill="1" applyBorder="1" applyAlignment="1">
      <x:alignment horizontal="right" vertical="center"/>
    </x:xf>
    <x:xf numFmtId="202" fontId="31" fillId="7" borderId="13" xfId="0" applyNumberFormat="1" applyFont="1" applyFill="1" applyBorder="1" applyAlignment="1">
      <x:alignment horizontal="right" vertical="center"/>
    </x:xf>
    <x:xf numFmtId="205" fontId="27" fillId="33" borderId="13" xfId="0" applyNumberFormat="1" applyFont="1" applyFill="1" applyBorder="1" applyAlignment="1">
      <x:alignment horizontal="right" vertical="center"/>
    </x:xf>
    <x:xf numFmtId="203" fontId="27" fillId="33" borderId="13" xfId="0" applyNumberFormat="1" applyFont="1" applyFill="1" applyBorder="1" applyAlignment="1">
      <x:alignment horizontal="right" vertical="center"/>
    </x:xf>
    <x:xf numFmtId="201" fontId="27" fillId="33" borderId="13" xfId="0" applyNumberFormat="1" applyFont="1" applyFill="1" applyBorder="1" applyAlignment="1">
      <x:alignment horizontal="right" vertical="center"/>
    </x:xf>
    <x:xf numFmtId="202" fontId="31" fillId="33" borderId="13" xfId="0" applyNumberFormat="1" applyFont="1" applyFill="1" applyBorder="1" applyAlignment="1">
      <x:alignment horizontal="right" vertical="center"/>
    </x:xf>
    <x:xf numFmtId="205" fontId="27" fillId="33" borderId="15" xfId="0" applyNumberFormat="1" applyFont="1" applyFill="1" applyBorder="1" applyAlignment="1">
      <x:alignment horizontal="right" vertical="center"/>
    </x:xf>
    <x:xf numFmtId="203" fontId="27" fillId="33" borderId="15" xfId="0" applyNumberFormat="1" applyFont="1" applyFill="1" applyBorder="1" applyAlignment="1">
      <x:alignment horizontal="right" vertical="center"/>
    </x:xf>
    <x:xf numFmtId="201" fontId="27" fillId="33" borderId="15" xfId="0" applyNumberFormat="1" applyFont="1" applyFill="1" applyBorder="1" applyAlignment="1">
      <x:alignment horizontal="right" vertical="center"/>
    </x:xf>
    <x:xf numFmtId="0" fontId="27" fillId="3" borderId="12" xfId="0" applyNumberFormat="1" applyFont="1" applyFill="1" applyBorder="1" applyAlignment="1">
      <x:alignment horizontal="left" vertical="center" wrapText="1"/>
    </x:xf>
    <x:xf numFmtId="0" fontId="27" fillId="33" borderId="13" xfId="0" applyNumberFormat="1" applyFont="1" applyFill="1" applyBorder="1" applyAlignment="1">
      <x:alignment horizontal="left" vertical="center" wrapText="1"/>
    </x:xf>
    <x:xf numFmtId="0" fontId="27" fillId="33" borderId="15" xfId="0" applyNumberFormat="1" applyFont="1" applyFill="1" applyBorder="1" applyAlignment="1">
      <x:alignment horizontal="left" vertical="center" wrapText="1"/>
    </x:xf>
    <x:xf numFmtId="0" fontId="27" fillId="3" borderId="12" xfId="0" applyNumberFormat="1" applyFont="1" applyFill="1" applyBorder="1" applyAlignment="1">
      <x:alignment horizontal="left" vertical="top" wrapText="1"/>
    </x:xf>
    <x:xf numFmtId="0" fontId="27" fillId="33" borderId="13" xfId="0" applyNumberFormat="1" applyFont="1" applyFill="1" applyBorder="1" applyAlignment="1">
      <x:alignment horizontal="left" vertical="top" wrapText="1"/>
    </x:xf>
    <x:xf numFmtId="0" fontId="27" fillId="33" borderId="15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405f38904f425c" /><Relationship Type="http://schemas.openxmlformats.org/officeDocument/2006/relationships/theme" Target="/xl/theme/theme1.xml" Id="Rc1cf5102bcbe4c84" /><Relationship Type="http://schemas.openxmlformats.org/officeDocument/2006/relationships/sharedStrings" Target="/xl/sharedStrings.xml" Id="R3634ffba78bd439e" /><Relationship Type="http://schemas.openxmlformats.org/officeDocument/2006/relationships/worksheet" Target="/xl/worksheets/sheet1.xml" Id="R8f665c5daf534bd2" /><Relationship Type="http://schemas.openxmlformats.org/officeDocument/2006/relationships/worksheet" Target="/xl/worksheets/sheet2.xml" Id="R62cc71e0627148b2" /><Relationship Type="http://schemas.openxmlformats.org/officeDocument/2006/relationships/worksheet" Target="/xl/worksheets/sheet3.xml" Id="R67538ccb302a40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0.4399995803833" hidden="0" customWidth="1"/>
    <x:col min="2" max="2" width="12.220000267028809" hidden="0" customWidth="1"/>
    <x:col min="3" max="3" width="11.5600004196167" hidden="0" customWidth="1"/>
    <x:col min="4" max="4" width="7.559999942779541" hidden="0" customWidth="1"/>
    <x:col min="5" max="5" width="16.889999389648438" hidden="0" customWidth="1"/>
    <x:col min="6" max="6" width="9.109999656677246" hidden="0" customWidth="1"/>
    <x:col min="7" max="7" width="9.779999732971191" hidden="0" customWidth="1"/>
    <x:col min="8" max="8" width="9.329999923706055" hidden="0" customWidth="1"/>
    <x:col min="9" max="9" width="9.5600004196167" hidden="0" customWidth="1"/>
    <x:col min="10" max="10" width="9.5600004196167" hidden="0" customWidth="1"/>
    <x:col min="11" max="11" width="11.109999656677246" hidden="0" customWidth="1"/>
    <x:col min="12" max="12" width="11.779999732971191" hidden="0" customWidth="1"/>
    <x:col min="13" max="13" width="8.670000076293945" hidden="0" customWidth="1"/>
    <x:col min="14" max="14" width="10.220000267028809" hidden="0" customWidth="1"/>
    <x:col min="15" max="15" width="13.109999656677246" hidden="0" customWidth="1"/>
    <x:col min="16" max="16" width="30" hidden="0" customWidth="1"/>
    <x:col min="17" max="17" width="32.220001220703125" hidden="0" customWidth="1"/>
    <x:col min="18" max="18" width="44.439998626708984" hidden="0" customWidth="1"/>
  </x:cols>
  <x:sheetData>
    <x:row r="1">
      <x:c r="A1" s="363"/>
      <x:c r="B1" s="363"/>
      <x:c r="C1" s="363"/>
      <x:c r="D1" s="363"/>
      <x:c r="E1" s="363"/>
      <x:c r="F1" s="363"/>
      <x:c r="G1" s="363"/>
      <x:c r="H1" s="363"/>
      <x:c r="I1" s="363"/>
      <x:c r="J1" s="363"/>
      <x:c r="K1" s="363"/>
      <x:c r="L1" s="363"/>
      <x:c r="M1" s="363"/>
      <x:c r="N1" s="363"/>
      <x:c r="O1" s="363"/>
      <x:c r="P1" s="363"/>
      <x:c r="Q1" s="363"/>
      <x:c r="R1" s="363"/>
    </x:row>
    <x:row r="2" ht="19.5" customHeight="1">
      <x:c r="A2" s="364" t="str">
        <x:v>Markdown 算子配置与性能完整列表</x:v>
      </x:c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  <x:c r="N2" s="364"/>
      <x:c r="O2" s="364"/>
      <x:c r="P2" s="364"/>
      <x:c r="Q2" s="364"/>
      <x:c r="R2" s="364"/>
    </x:row>
    <x:row r="3">
      <x:c r="A3" s="363"/>
      <x:c r="B3" s="363"/>
      <x:c r="C3" s="363"/>
      <x:c r="D3" s="363"/>
      <x:c r="E3" s="363"/>
      <x:c r="F3" s="363"/>
      <x:c r="G3" s="363"/>
      <x:c r="H3" s="363"/>
      <x:c r="I3" s="363"/>
      <x:c r="J3" s="363"/>
      <x:c r="K3" s="363"/>
      <x:c r="L3" s="363"/>
      <x:c r="M3" s="363"/>
      <x:c r="N3" s="363"/>
      <x:c r="O3" s="363"/>
      <x:c r="P3" s="363"/>
      <x:c r="Q3" s="363"/>
      <x:c r="R3" s="363"/>
    </x:row>
    <x:row r="4" ht="21" customHeight="1">
      <x:c r="A4" s="365" t="str">
        <x:v>时钟频率 (GHz)</x:v>
      </x:c>
      <x:c r="B4" s="274" t="n">
        <x:v>1.6</x:v>
      </x:c>
      <x:c r="C4" s="363"/>
      <x:c r="D4" s="366" t="str">
        <x:v>用时公式</x:v>
      </x:c>
      <x:c r="E4" s="367" t="str">
        <x:v>= cycles / (1.6 × 1000) = cycles / 1600 μs</x:v>
      </x:c>
      <x:c r="F4" s="363"/>
      <x:c r="G4" s="368"/>
      <x:c r="H4" s="368"/>
      <x:c r="I4" s="368"/>
      <x:c r="J4" s="368"/>
      <x:c r="K4" s="368"/>
      <x:c r="L4" s="368"/>
      <x:c r="M4" s="368"/>
      <x:c r="N4" s="368"/>
      <x:c r="O4" s="368"/>
      <x:c r="P4" s="368"/>
      <x:c r="Q4" s="368"/>
      <x:c r="R4" s="368"/>
    </x:row>
    <x:row r="5" ht="22.5" customHeight="1">
      <x:c r="A5" s="365" t="str">
        <x:v>FA MFU 公式</x:v>
      </x:c>
      <x:c r="B5" s="274" t="str">
        <x:v>= [2 × Sq × Skv × HeadDim / Peak FMA/cycle] / cycles</x:v>
      </x:c>
      <x:c r="C5" s="363"/>
      <x:c r="D5" s="366" t="str">
        <x:v>实测映射</x:v>
      </x:c>
      <x:c r="E5" s="367" t="str">
        <x:v>FA 计算使用 Sq=128；Skv 取自 shape 的序列长度，不在明细列重复展示。</x:v>
      </x:c>
      <x:c r="F5" s="363"/>
      <x:c r="G5" s="368"/>
      <x:c r="H5" s="368"/>
      <x:c r="I5" s="368"/>
      <x:c r="J5" s="368"/>
      <x:c r="K5" s="368"/>
      <x:c r="L5" s="368"/>
      <x:c r="M5" s="368"/>
      <x:c r="N5" s="368"/>
      <x:c r="O5" s="368"/>
      <x:c r="P5" s="368"/>
      <x:c r="Q5" s="368"/>
      <x:c r="R5" s="368"/>
    </x:row>
    <x:row r="6" ht="33" customHeight="1">
      <x:c r="A6" s="365" t="str">
        <x:v>峰值 FMA/cycle</x:v>
      </x:c>
      <x:c r="B6" s="274" t="str">
        <x:v>BF16=4096; FP8=8192; MXFP4=16384 FMA/cycle（与 gfsim Cube PMU 口径一致）</x:v>
      </x:c>
      <x:c r="C6" s="363"/>
      <x:c r="D6" s="366" t="str">
        <x:v>运行配置</x:v>
      </x:c>
      <x:c r="E6" s="367" t="str">
        <x:v>标准精度 FA=fa_gmma_opt；MXFP4=fa_lowp_algC_final。D192 已按 physical Col=256 / ValidCol=192 修改并编译成功；model-main 590b0fb8 仍要求 FPATR 实际 M/N/K 均为 2 的幂，因此四项均无有效 cycle。完整配置与证据见每行及 metadata.json。 Matmul 使用 BW100 / min read-write latency 330；完整命令见复现命令列。</x:v>
      </x:c>
      <x:c r="F6" s="363"/>
      <x:c r="G6" s="368"/>
      <x:c r="H6" s="368"/>
      <x:c r="I6" s="368"/>
      <x:c r="J6" s="368"/>
      <x:c r="K6" s="368"/>
      <x:c r="L6" s="368"/>
      <x:c r="M6" s="368"/>
      <x:c r="N6" s="368"/>
      <x:c r="O6" s="368"/>
      <x:c r="P6" s="368"/>
      <x:c r="Q6" s="368"/>
      <x:c r="R6" s="368"/>
    </x:row>
    <x:row r="7">
      <x:c r="A7" s="363"/>
      <x:c r="B7" s="363"/>
      <x:c r="C7" s="363"/>
      <x:c r="D7" s="363"/>
      <x:c r="E7" s="363"/>
      <x:c r="F7" s="363"/>
      <x:c r="G7" s="363"/>
      <x:c r="H7" s="363"/>
      <x:c r="I7" s="363"/>
      <x:c r="J7" s="363"/>
      <x:c r="K7" s="363"/>
      <x:c r="L7" s="363"/>
      <x:c r="M7" s="363"/>
      <x:c r="N7" s="363"/>
      <x:c r="O7" s="363"/>
      <x:c r="P7" s="363"/>
      <x:c r="Q7" s="363"/>
      <x:c r="R7" s="363"/>
    </x:row>
    <x:row r="8" ht="21" customHeight="1">
      <x:c r="A8" s="199" t="str">
        <x:v>算子配置</x:v>
      </x:c>
      <x:c r="B8" s="200" t="str">
        <x:v>Markdown 配置</x:v>
      </x:c>
      <x:c r="C8" s="200" t="str">
        <x:v>Markdown 配置</x:v>
      </x:c>
      <x:c r="D8" s="200" t="str">
        <x:v>Markdown 配置</x:v>
      </x:c>
      <x:c r="E8" s="200" t="str">
        <x:v>Markdown 配置</x:v>
      </x:c>
      <x:c r="F8" s="201" t="str">
        <x:v>Markdown 配置</x:v>
      </x:c>
      <x:c r="G8" s="209" t="str">
        <x:v>DV200</x:v>
      </x:c>
      <x:c r="H8" s="210" t="str">
        <x:v>DV200</x:v>
      </x:c>
      <x:c r="I8" s="216" t="str">
        <x:v>SuperScalarNPU</x:v>
      </x:c>
      <x:c r="J8" s="217" t="str">
        <x:v>本次 gfsim 实测与 MFU 计算</x:v>
      </x:c>
      <x:c r="K8" s="217" t="str">
        <x:v>本次 gfsim 实测与 MFU 计算</x:v>
      </x:c>
      <x:c r="L8" s="217" t="str">
        <x:v>本次 gfsim 实测与 MFU 计算</x:v>
      </x:c>
      <x:c r="M8" s="218" t="str">
        <x:v>本次 gfsim 实测与 MFU 计算</x:v>
      </x:c>
      <x:c r="N8" s="224" t="str">
        <x:v>对比</x:v>
      </x:c>
      <x:c r="O8" s="230" t="str">
        <x:v>状态与复现</x:v>
      </x:c>
      <x:c r="P8" s="231" t="str">
        <x:v>状态与复现</x:v>
      </x:c>
      <x:c r="Q8" s="232" t="str">
        <x:v>状态与复现</x:v>
      </x:c>
      <x:c r="R8" s="232" t="str">
        <x:v>状态与复现</x:v>
      </x:c>
    </x:row>
    <x:row r="9" ht="30" customHeight="1">
      <x:c r="A9" s="435" t="str">
        <x:v>category</x:v>
      </x:c>
      <x:c r="B9" s="435" t="str">
        <x:v>cube quant</x:v>
      </x:c>
      <x:c r="C9" s="435" t="str">
        <x:v>vector quant</x:v>
      </x:c>
      <x:c r="D9" s="435" t="str">
        <x:v>head-dim</x:v>
      </x:c>
      <x:c r="E9" s="435" t="str">
        <x:v>shape</x:v>
      </x:c>
      <x:c r="F9" s="435" t="str">
        <x:v>排布</x:v>
      </x:c>
      <x:c r="G9" s="436" t="str">
        <x:v>dv200 time (us)</x:v>
      </x:c>
      <x:c r="H9" s="436" t="str">
        <x:v>dv200 mfu</x:v>
      </x:c>
      <x:c r="I9" s="437" t="str">
        <x:v>cycles</x:v>
      </x:c>
      <x:c r="J9" s="437" t="str">
        <x:v>time (us)</x:v>
      </x:c>
      <x:c r="K9" s="437" t="str">
        <x:v>Peak FMA/cycle</x:v>
      </x:c>
      <x:c r="L9" s="437" t="str">
        <x:v>理论 cycles</x:v>
      </x:c>
      <x:c r="M9" s="437" t="str">
        <x:v>MFU</x:v>
      </x:c>
      <x:c r="N9" s="438" t="str">
        <x:v>time / dv200</x:v>
      </x:c>
      <x:c r="O9" s="439" t="str">
        <x:v>状态</x:v>
      </x:c>
      <x:c r="P9" s="439" t="str">
        <x:v>算子配置 / Tile Size</x:v>
      </x:c>
      <x:c r="Q9" s="439" t="str">
        <x:v>复现命令</x:v>
      </x:c>
      <x:c r="R9" s="439" t="str">
        <x:v>证据 / 说明</x:v>
      </x:c>
    </x:row>
    <x:row r="10" ht="48" customHeight="1">
      <x:c r="A10" s="850" t="str">
        <x:v>FA</x:v>
      </x:c>
      <x:c r="B10" s="819" t="str">
        <x:v>mxfp4/hif4一阶</x:v>
      </x:c>
      <x:c r="C10" s="819" t="str">
        <x:v>bf16</x:v>
      </x:c>
      <x:c r="D10" s="819" t="n">
        <x:v>256</x:v>
      </x:c>
      <x:c r="E10" s="819" t="str">
        <x:v>[1,8,65536,256]</x:v>
      </x:c>
      <x:c r="F10" s="819" t="str">
        <x:v>BNSD</x:v>
      </x:c>
      <x:c r="G10" s="866" t="n">
        <x:v>217.23</x:v>
      </x:c>
      <x:c r="H10" s="867" t="n">
        <x:v>0.8045</x:v>
      </x:c>
      <x:c r="I10" s="868" t="n">
        <x:v>358468</x:v>
      </x:c>
      <x:c r="J10" s="869" t="n">
        <x:f>IF(I10="","",I10/($B$4*1000))</x:f>
        <x:v>224.0425</x:v>
      </x:c>
      <x:c r="K10" s="868" t="n">
        <x:v>16384</x:v>
      </x:c>
      <x:c r="L10" s="868" t="n">
        <x:f>IF(I10="","",2*128*65536*D10/K10)</x:f>
        <x:v>262144</x:v>
      </x:c>
      <x:c r="M10" s="867" t="n">
        <x:f>IF(I10="","",L10/I10)</x:f>
        <x:v>0.7312898222435475</x:v>
      </x:c>
      <x:c r="N10" s="870" t="n">
        <x:f>IF(J10="","",J10/G10)</x:f>
        <x:v>1.031360769691111</x:v>
      </x:c>
      <x:c r="O10" s="918" t="str">
        <x:v>PASS</x:v>
      </x:c>
      <x:c r="P10" s="939" t="str">
        <x:v>fa_lowp_algC_final; Sq=128; Skv=65536; QD=VD=256; Tm=128; Tk=128; softcore.multiThreadNum=4; cube.enable_internal_acc=true; cube.l0aSharetregResident=false; bctrl.vec_cell_sched_enable=false; bctrl.vecIssueQDepth=64; core.soc_random=false; core.soc_bw_limit=0; core.read_bandwidth_limit=256; core.soc_lat_mean=330; core.sharetreg_size_bytes=262144; core.sharetreg_ssb_count=64; core.sharetreg_bandwidth_bytes=256</x:v>
      </x:c>
      <x:c r="Q10" s="939"/>
      <x:c r="R10" s="939" t="str">
        <x:v>gfsim PMU=73.27%；model=590b0fb8；compiler=e6a31efb；repo=188bf6c dirty；kernel sha256=bd7c107e2541e8545cd9196b4188ec7647d657f229b3d9c5a68cb7eb85b02e45；日志: /Users/blacktraker/Programming/gitproj/DV4/SuperNPUBench/outputs/fp4_refresh_20261009/cases/fa_mxfp4_bf16_d256/gfsim.log；metadata: /Users/blacktraker/Programming/gitproj/DV4/SuperNPUBench/outputs/fp4_refresh_20261009/metadata.json</x:v>
      </x:c>
    </x:row>
    <x:row r="11" ht="48" customHeight="1">
      <x:c r="A11" s="851" t="str">
        <x:v>FA</x:v>
      </x:c>
      <x:c r="B11" s="860" t="str">
        <x:v>mxfp4/hif4一阶</x:v>
      </x:c>
      <x:c r="C11" s="860" t="str">
        <x:v>bf16</x:v>
      </x:c>
      <x:c r="D11" s="860" t="n">
        <x:v>192</x:v>
      </x:c>
      <x:c r="E11" s="860" t="str">
        <x:v>[1,8,65536,128+64]</x:v>
      </x:c>
      <x:c r="F11" s="860" t="str">
        <x:v>BNSD</x:v>
      </x:c>
      <x:c r="G11" s="871" t="n">
        <x:v>133.76</x:v>
      </x:c>
      <x:c r="H11" s="872" t="n">
        <x:v>0.8166</x:v>
      </x:c>
      <x:c r="I11" s="873"/>
      <x:c r="J11" s="874"/>
      <x:c r="K11" s="873" t="n">
        <x:v>16384</x:v>
      </x:c>
      <x:c r="L11" s="873"/>
      <x:c r="M11" s="872"/>
      <x:c r="N11" s="875"/>
      <x:c r="O11" s="919" t="str">
        <x:v>MODEL_ASSERT</x:v>
      </x:c>
      <x:c r="P11" s="940" t="str">
        <x:v>fa_lowp_algC_final; Sq=128; Skv=65536; QD=VD=192; physical Col=256; ValidCol=192; Tm=128; Tk=128; softcore.multiThreadNum=4; cube.enable_internal_acc=true; cube.l0aSharetregResident=false; bctrl.vec_cell_sched_enable=false; bctrl.vecIssueQDepth=64; core.soc_random=false; core.soc_bw_limit=0; core.read_bandwidth_limit=256; core.soc_lat_mean=330; core.sharetreg_size_bytes=262144; core.sharetreg_ssb_count=64; core.sharetreg_bandwidth_bytes=256</x:v>
      </x:c>
      <x:c r="Q11" s="940"/>
      <x:c r="R11" s="940" t="str">
        <x:v>编译 PASS，反汇编确认 Col=256/ValidCol=192；gfsim 无有效 cycle：FPATR N=192，model-main ValidateOperandContract 要求 FPATR M/N/K 为 2 的幂。model=590b0fb8；compiler=e6a31efb；repo=188bf6c dirty；日志: /Users/blacktraker/Programming/gitproj/DV4/SuperNPUBench/outputs/fa_d192_validcol_refresh_20261010/cases/fa_mxfp4_bf16_d192/gfsim.log；ELF/反汇编: /Users/blacktraker/Programming/gitproj/DV4/SuperNPUBench/outputs/fa_d192_validcol_refresh_20261010/cases/fa_mxfp4_bf16_d192/kernel/fa/elf/；metadata: /Users/blacktraker/Programming/gitproj/DV4/SuperNPUBench/outputs/fa_d192_validcol_refresh_20261010/metadata.json；results: /Users/blacktraker/Programming/gitproj/DV4/SuperNPUBench/outputs/fa_d192_validcol_refresh_20261010/results.json</x:v>
      </x:c>
    </x:row>
    <x:row r="12" ht="48" customHeight="1">
      <x:c r="A12" s="851" t="str">
        <x:v>FA</x:v>
      </x:c>
      <x:c r="B12" s="860" t="str">
        <x:v>mxfp4/hif4一阶</x:v>
      </x:c>
      <x:c r="C12" s="860" t="str">
        <x:v>bf16</x:v>
      </x:c>
      <x:c r="D12" s="860" t="n">
        <x:v>128</x:v>
      </x:c>
      <x:c r="E12" s="860" t="str">
        <x:v>[1,8,65536,128]</x:v>
      </x:c>
      <x:c r="F12" s="860" t="str">
        <x:v>BNSD</x:v>
      </x:c>
      <x:c r="G12" s="871" t="n">
        <x:v>123.79</x:v>
      </x:c>
      <x:c r="H12" s="872" t="n">
        <x:v>0.7059</x:v>
      </x:c>
      <x:c r="I12" s="873" t="n">
        <x:v>218551</x:v>
      </x:c>
      <x:c r="J12" s="874" t="n">
        <x:f>IF(I12="","",I12/($B$4*1000))</x:f>
        <x:v>136.594375</x:v>
      </x:c>
      <x:c r="K12" s="873" t="n">
        <x:v>16384</x:v>
      </x:c>
      <x:c r="L12" s="873" t="n">
        <x:f>IF(I12="","",2*128*65536*D12/K12)</x:f>
        <x:v>131072</x:v>
      </x:c>
      <x:c r="M12" s="872" t="n">
        <x:f>IF(I12="","",L12/I12)</x:f>
        <x:v>0.5997318703643543</x:v>
      </x:c>
      <x:c r="N12" s="875" t="n">
        <x:f>IF(J12="","",J12/G12)</x:f>
        <x:v>1.1034362630260925</x:v>
      </x:c>
      <x:c r="O12" s="919" t="str">
        <x:v>PASS</x:v>
      </x:c>
      <x:c r="P12" s="940" t="str">
        <x:v>fa_lowp_algC_final; Sq=128; Skv=65536; QD=VD=128; Tm=128; Tk=128; softcore.multiThreadNum=4; cube.enable_internal_acc=true; cube.l0aSharetregResident=false; bctrl.vec_cell_sched_enable=false; bctrl.vecIssueQDepth=64; core.soc_random=false; core.soc_bw_limit=0; core.read_bandwidth_limit=256; core.soc_lat_mean=330; core.sharetreg_size_bytes=262144; core.sharetreg_ssb_count=64; core.sharetreg_bandwidth_bytes=256</x:v>
      </x:c>
      <x:c r="Q12" s="940"/>
      <x:c r="R12" s="940" t="str">
        <x:v>gfsim PMU=60.21%；model=590b0fb8；compiler=e6a31efb；repo=188bf6c dirty；kernel sha256=bd7c107e2541e8545cd9196b4188ec7647d657f229b3d9c5a68cb7eb85b02e45；日志: /Users/blacktraker/Programming/gitproj/DV4/SuperNPUBench/outputs/fp4_refresh_20261009/cases/fa_mxfp4_bf16_d128/gfsim.log；metadata: /Users/blacktraker/Programming/gitproj/DV4/SuperNPUBench/outputs/fp4_refresh_20261009/metadata.json</x:v>
      </x:c>
    </x:row>
    <x:row r="13" ht="48" customHeight="1">
      <x:c r="A13" s="851" t="str">
        <x:v>FA</x:v>
      </x:c>
      <x:c r="B13" s="860" t="str">
        <x:v>mxfp4/hif4一阶</x:v>
      </x:c>
      <x:c r="C13" s="860" t="str">
        <x:v>bf16</x:v>
      </x:c>
      <x:c r="D13" s="860" t="n">
        <x:v>64</x:v>
      </x:c>
      <x:c r="E13" s="860" t="str">
        <x:v>[1,8,65536,64]</x:v>
      </x:c>
      <x:c r="F13" s="860" t="str">
        <x:v>BNSD</x:v>
      </x:c>
      <x:c r="G13" s="871" t="n">
        <x:v>114.52</x:v>
      </x:c>
      <x:c r="H13" s="872" t="n">
        <x:v>0.3815</x:v>
      </x:c>
      <x:c r="I13" s="873" t="n">
        <x:v>124348</x:v>
      </x:c>
      <x:c r="J13" s="874" t="n">
        <x:f>IF(I13="","",I13/($B$4*1000))</x:f>
        <x:v>77.7175</x:v>
      </x:c>
      <x:c r="K13" s="873" t="n">
        <x:v>16384</x:v>
      </x:c>
      <x:c r="L13" s="873" t="n">
        <x:f>IF(I13="","",2*128*65536*D13/K13)</x:f>
        <x:v>65536</x:v>
      </x:c>
      <x:c r="M13" s="872" t="n">
        <x:f>IF(I13="","",L13/I13)</x:f>
        <x:v>0.5270370251230417</x:v>
      </x:c>
      <x:c r="N13" s="875" t="n">
        <x:f>IF(J13="","",J13/G13)</x:f>
        <x:v>0.6786369193154035</x:v>
      </x:c>
      <x:c r="O13" s="919" t="str">
        <x:v>PASS</x:v>
      </x:c>
      <x:c r="P13" s="940" t="str">
        <x:v>fa_lowp_algC_final; Sq=128; Skv=65536; QD=VD=64; Tm=128; Tk=128; softcore.multiThreadNum=4; cube.enable_internal_acc=true; cube.l0aSharetregResident=false; bctrl.vec_cell_sched_enable=false; bctrl.vecIssueQDepth=64; core.soc_random=false; core.soc_bw_limit=0; core.read_bandwidth_limit=256; core.soc_lat_mean=330; core.sharetreg_size_bytes=262144; core.sharetreg_ssb_count=64; core.sharetreg_bandwidth_bytes=256</x:v>
      </x:c>
      <x:c r="Q13" s="940"/>
      <x:c r="R13" s="940" t="str">
        <x:v>gfsim PMU=53.12%；model=590b0fb8；compiler=e6a31efb；repo=188bf6c dirty；kernel sha256=bd7c107e2541e8545cd9196b4188ec7647d657f229b3d9c5a68cb7eb85b02e45；日志: /Users/blacktraker/Programming/gitproj/DV4/SuperNPUBench/outputs/fp4_refresh_20261009/cases/fa_mxfp4_bf16_d64/gfsim.log；metadata: /Users/blacktraker/Programming/gitproj/DV4/SuperNPUBench/outputs/fp4_refresh_20261009/metadata.json</x:v>
      </x:c>
    </x:row>
    <x:row r="14" ht="48" customHeight="1">
      <x:c r="A14" s="852" t="str">
        <x:v>FA</x:v>
      </x:c>
      <x:c r="B14" s="528" t="str">
        <x:v>fp8</x:v>
      </x:c>
      <x:c r="C14" s="528" t="str">
        <x:v>fp32</x:v>
      </x:c>
      <x:c r="D14" s="528" t="n">
        <x:v>256</x:v>
      </x:c>
      <x:c r="E14" s="528" t="str">
        <x:v>[1,8192,8,256]</x:v>
      </x:c>
      <x:c r="F14" s="528" t="str">
        <x:v>BSND</x:v>
      </x:c>
      <x:c r="G14" s="876" t="n">
        <x:v>46.82</x:v>
      </x:c>
      <x:c r="H14" s="877" t="n">
        <x:v>0.9331</x:v>
      </x:c>
      <x:c r="I14" s="878" t="n">
        <x:v>69732</x:v>
      </x:c>
      <x:c r="J14" s="879" t="n">
        <x:f>IF(I14="","",I14/($B$4*1000))</x:f>
        <x:v>43.5825</x:v>
      </x:c>
      <x:c r="K14" s="878" t="n">
        <x:v>8192</x:v>
      </x:c>
      <x:c r="L14" s="878" t="n">
        <x:f>IF(I14="","",2*128*8192*D14/K14)</x:f>
        <x:v>65536</x:v>
      </x:c>
      <x:c r="M14" s="877" t="n">
        <x:f>IF(I14="","",L14/I14)</x:f>
        <x:v>0.939826765330121</x:v>
      </x:c>
      <x:c r="N14" s="880" t="n">
        <x:f>IF(J14="","",J14/G14)</x:f>
        <x:v>0.9308521999145665</x:v>
      </x:c>
      <x:c r="O14" s="920" t="str">
        <x:v>PASS</x:v>
      </x:c>
      <x:c r="P14" s="941" t="str">
        <x:v>fa_gmma_opt; Tm=128; Tk=128</x:v>
      </x:c>
      <x:c r="Q14" s="941"/>
      <x:c r="R14" s="941" t="str">
        <x:v>标准精度实测路径已替换为 fa_gmma_opt。 /Users/blacktraker/Programming/gitproj/DV4/SuperNPUBench/outputs/fa_gmma_opt_refresh_20261009/cases/fa_fp8_fp32_d256/gfsim.log</x:v>
      </x:c>
    </x:row>
    <x:row r="15" ht="48" customHeight="1">
      <x:c r="A15" s="853" t="str">
        <x:v>FA</x:v>
      </x:c>
      <x:c r="B15" s="480" t="str">
        <x:v>fp8</x:v>
      </x:c>
      <x:c r="C15" s="480" t="str">
        <x:v>fp32</x:v>
      </x:c>
      <x:c r="D15" s="480" t="n">
        <x:v>192</x:v>
      </x:c>
      <x:c r="E15" s="480" t="str">
        <x:v>[1,8192,8,128+64]</x:v>
      </x:c>
      <x:c r="F15" s="480" t="str">
        <x:v>BSND</x:v>
      </x:c>
      <x:c r="G15" s="881" t="n">
        <x:v>30.8</x:v>
      </x:c>
      <x:c r="H15" s="882" t="n">
        <x:v>0.8866</x:v>
      </x:c>
      <x:c r="I15" s="883"/>
      <x:c r="J15" s="884"/>
      <x:c r="K15" s="883" t="n">
        <x:v>8192</x:v>
      </x:c>
      <x:c r="L15" s="883"/>
      <x:c r="M15" s="882"/>
      <x:c r="N15" s="885"/>
      <x:c r="O15" s="921" t="str">
        <x:v>MODEL_ASSERT</x:v>
      </x:c>
      <x:c r="P15" s="942" t="str">
        <x:v>fa_gmma_opt; Sq=128; Skv=8192; QD=VD=192; physical Col=256; ValidCol=192; Tm=128; Tk=128; softcore.multiThreadNum=4; cube.enable_internal_acc=true; cube.l0aSharetregResident=false; bctrl.vec_cell_sched_enable=false; bctrl.vecIssueQDepth=64; core.soc_random=false; core.soc_bw_limit=0; core.read_bandwidth_limit=256; core.soc_lat_mean=330; core.sharetreg_size_bytes=262144; core.sharetreg_ssb_count=64; core.sharetreg_bandwidth_bytes=256</x:v>
      </x:c>
      <x:c r="Q15" s="942"/>
      <x:c r="R15" s="942" t="str">
        <x:v>编译 PASS，反汇编确认 Col=256/ValidCol=192；gfsim 无有效 cycle：FPATR K/N=192，model-main ValidateOperandContract 要求 FPATR M/N/K 为 2 的幂。model=590b0fb8；compiler=e6a31efb；repo=188bf6c dirty；日志: /Users/blacktraker/Programming/gitproj/DV4/SuperNPUBench/outputs/fa_d192_validcol_refresh_20261010/cases/fa_fp8_fp32_d192/gfsim.log；ELF/反汇编: /Users/blacktraker/Programming/gitproj/DV4/SuperNPUBench/outputs/fa_d192_validcol_refresh_20261010/cases/fa_fp8_fp32_d192/kernel/fa/elf/；metadata: /Users/blacktraker/Programming/gitproj/DV4/SuperNPUBench/outputs/fa_d192_validcol_refresh_20261010/metadata.json；results: /Users/blacktraker/Programming/gitproj/DV4/SuperNPUBench/outputs/fa_d192_validcol_refresh_20261010/results.json</x:v>
      </x:c>
    </x:row>
    <x:row r="16" ht="48" customHeight="1">
      <x:c r="A16" s="853" t="str">
        <x:v>FA</x:v>
      </x:c>
      <x:c r="B16" s="480" t="str">
        <x:v>fp8</x:v>
      </x:c>
      <x:c r="C16" s="480" t="str">
        <x:v>fp32</x:v>
      </x:c>
      <x:c r="D16" s="480" t="n">
        <x:v>128</x:v>
      </x:c>
      <x:c r="E16" s="480" t="str">
        <x:v>[1,8192,8,128]</x:v>
      </x:c>
      <x:c r="F16" s="480" t="str">
        <x:v>BSND</x:v>
      </x:c>
      <x:c r="G16" s="881" t="n">
        <x:v>29.96</x:v>
      </x:c>
      <x:c r="H16" s="882" t="n">
        <x:v>0.7291</x:v>
      </x:c>
      <x:c r="I16" s="883" t="n">
        <x:v>41579</x:v>
      </x:c>
      <x:c r="J16" s="884" t="n">
        <x:f>IF(I16="","",I16/($B$4*1000))</x:f>
        <x:v>25.986875</x:v>
      </x:c>
      <x:c r="K16" s="883" t="n">
        <x:v>8192</x:v>
      </x:c>
      <x:c r="L16" s="883" t="n">
        <x:f>IF(I16="","",2*128*8192*D16/K16)</x:f>
        <x:v>32768</x:v>
      </x:c>
      <x:c r="M16" s="882" t="n">
        <x:f>IF(I16="","",L16/I16)</x:f>
        <x:v>0.7880901416580486</x:v>
      </x:c>
      <x:c r="N16" s="885" t="n">
        <x:f>IF(J16="","",J16/G16)</x:f>
        <x:v>0.8673856809078772</x:v>
      </x:c>
      <x:c r="O16" s="921" t="str">
        <x:v>PASS</x:v>
      </x:c>
      <x:c r="P16" s="942" t="str">
        <x:v>fa_gmma_opt; Tm=128; Tk=128</x:v>
      </x:c>
      <x:c r="Q16" s="942"/>
      <x:c r="R16" s="942" t="str">
        <x:v>标准精度实测路径已替换为 fa_gmma_opt。 /Users/blacktraker/Programming/gitproj/DV4/SuperNPUBench/outputs/fa_gmma_opt_refresh_20261009/cases/fa_fp8_fp32_d128/gfsim.log</x:v>
      </x:c>
    </x:row>
    <x:row r="17" ht="48" customHeight="1">
      <x:c r="A17" s="853" t="str">
        <x:v>FA</x:v>
      </x:c>
      <x:c r="B17" s="480" t="str">
        <x:v>fp8</x:v>
      </x:c>
      <x:c r="C17" s="480" t="str">
        <x:v>fp32</x:v>
      </x:c>
      <x:c r="D17" s="480" t="n">
        <x:v>64</x:v>
      </x:c>
      <x:c r="E17" s="480" t="str">
        <x:v>[1,8192,8,64]</x:v>
      </x:c>
      <x:c r="F17" s="480" t="str">
        <x:v>BSND</x:v>
      </x:c>
      <x:c r="G17" s="881" t="n">
        <x:v>29.39</x:v>
      </x:c>
      <x:c r="H17" s="882" t="n">
        <x:v>0.3716</x:v>
      </x:c>
      <x:c r="I17" s="883" t="n">
        <x:v>39616</x:v>
      </x:c>
      <x:c r="J17" s="884" t="n">
        <x:f>IF(I17="","",I17/($B$4*1000))</x:f>
        <x:v>24.76</x:v>
      </x:c>
      <x:c r="K17" s="883" t="n">
        <x:v>8192</x:v>
      </x:c>
      <x:c r="L17" s="883" t="n">
        <x:f>IF(I17="","",2*128*8192*D17/K17)</x:f>
        <x:v>16384</x:v>
      </x:c>
      <x:c r="M17" s="882" t="n">
        <x:f>IF(I17="","",L17/I17)</x:f>
        <x:v>0.4135702746365105</x:v>
      </x:c>
      <x:c r="N17" s="885" t="n">
        <x:f>IF(J17="","",J17/G17)</x:f>
        <x:v>0.8424634229329704</x:v>
      </x:c>
      <x:c r="O17" s="921" t="str">
        <x:v>PASS</x:v>
      </x:c>
      <x:c r="P17" s="942" t="str">
        <x:v>fa_gmma_opt; Tm=128; Tk=128</x:v>
      </x:c>
      <x:c r="Q17" s="942"/>
      <x:c r="R17" s="942" t="str">
        <x:v>标准精度实测路径已替换为 fa_gmma_opt。 /Users/blacktraker/Programming/gitproj/DV4/SuperNPUBench/outputs/fa_gmma_opt_refresh_20261009/cases/fa_fp8_fp32_d64/gfsim.log</x:v>
      </x:c>
    </x:row>
    <x:row r="18" ht="48" customHeight="1">
      <x:c r="A18" s="854" t="str">
        <x:v>FA</x:v>
      </x:c>
      <x:c r="B18" s="822" t="str">
        <x:v>fp8</x:v>
      </x:c>
      <x:c r="C18" s="822" t="str">
        <x:v>bf16</x:v>
      </x:c>
      <x:c r="D18" s="822" t="n">
        <x:v>256</x:v>
      </x:c>
      <x:c r="E18" s="822" t="str">
        <x:v>[1,8192,8,256]</x:v>
      </x:c>
      <x:c r="F18" s="822" t="str">
        <x:v>BSND</x:v>
      </x:c>
      <x:c r="G18" s="886" t="n">
        <x:v>46.8</x:v>
      </x:c>
      <x:c r="H18" s="887" t="n">
        <x:v>0.9336</x:v>
      </x:c>
      <x:c r="I18" s="888" t="n">
        <x:v>69488</x:v>
      </x:c>
      <x:c r="J18" s="889" t="n">
        <x:f>I18/($B$4*1000)</x:f>
        <x:v>43.43</x:v>
      </x:c>
      <x:c r="K18" s="888" t="n">
        <x:v>8192</x:v>
      </x:c>
      <x:c r="L18" s="888" t="n">
        <x:f>(2*128*8192*D18)/K18</x:f>
        <x:v>65536</x:v>
      </x:c>
      <x:c r="M18" s="887" t="n">
        <x:f>L18/I18</x:f>
        <x:v>0.9431268708266175</x:v>
      </x:c>
      <x:c r="N18" s="890" t="n">
        <x:f>J18/G18</x:f>
        <x:v>0.927991452991453</x:v>
      </x:c>
      <x:c r="O18" s="922" t="str">
        <x:v>PASS</x:v>
      </x:c>
      <x:c r="P18" s="943" t="str">
        <x:v>fa_gmma_opt; Tm=128; Tk=128</x:v>
      </x:c>
      <x:c r="Q18" s="943"/>
      <x:c r="R18" s="943" t="str">
        <x:v>Tk sweep 最优：Tk=128 为 69,488 cycles；旧 Tk=256 为 77,487 cycles，cycle 降低 10.32%。公式：time=cycles/1600；MFU=(2×128×8192×256/8192)/cycles=65536/cycles。证据：/Users/blacktraker/Programming/gitproj/DV4/SuperNPUBench/outputs/fa_fp8_bf16_d256_tk_sweep_20261009/cases/tm128_tk128/gfsim.log</x:v>
      </x:c>
    </x:row>
    <x:row r="19" ht="48" customHeight="1">
      <x:c r="A19" s="855" t="str">
        <x:v>FA</x:v>
      </x:c>
      <x:c r="B19" s="861" t="str">
        <x:v>fp8</x:v>
      </x:c>
      <x:c r="C19" s="861" t="str">
        <x:v>bf16</x:v>
      </x:c>
      <x:c r="D19" s="861" t="n">
        <x:v>192</x:v>
      </x:c>
      <x:c r="E19" s="861" t="str">
        <x:v>[1,8192,8,128+64]</x:v>
      </x:c>
      <x:c r="F19" s="861" t="str">
        <x:v>BSND</x:v>
      </x:c>
      <x:c r="G19" s="891" t="n">
        <x:v>29.84</x:v>
      </x:c>
      <x:c r="H19" s="892" t="n">
        <x:v>0.9159</x:v>
      </x:c>
      <x:c r="I19" s="893"/>
      <x:c r="J19" s="894"/>
      <x:c r="K19" s="893" t="n">
        <x:v>8192</x:v>
      </x:c>
      <x:c r="L19" s="893"/>
      <x:c r="M19" s="892"/>
      <x:c r="N19" s="895"/>
      <x:c r="O19" s="923" t="str">
        <x:v>MODEL_ASSERT</x:v>
      </x:c>
      <x:c r="P19" s="944" t="str">
        <x:v>fa_gmma_opt; Sq=128; Skv=8192; QD=VD=192; physical Col=256; ValidCol=192; Tm=128; Tk=256; softcore.multiThreadNum=4; cube.enable_internal_acc=true; cube.l0aSharetregResident=false; bctrl.vec_cell_sched_enable=false; bctrl.vecIssueQDepth=64; core.soc_random=false; core.soc_bw_limit=0; core.read_bandwidth_limit=256; core.soc_lat_mean=330; core.sharetreg_size_bytes=262144; core.sharetreg_ssb_count=64; core.sharetreg_bandwidth_bytes=256</x:v>
      </x:c>
      <x:c r="Q19" s="944"/>
      <x:c r="R19" s="944" t="str">
        <x:v>编译 PASS，反汇编确认 Col=256/ValidCol=192；gfsim 无有效 cycle：FPATR K/N=192，model-main ValidateOperandContract 要求 FPATR M/N/K 为 2 的幂。model=590b0fb8；compiler=e6a31efb；repo=188bf6c dirty；日志: /Users/blacktraker/Programming/gitproj/DV4/SuperNPUBench/outputs/fa_d192_validcol_refresh_20261010/cases/fa_fp8_bf16_d192/gfsim.log；ELF/反汇编: /Users/blacktraker/Programming/gitproj/DV4/SuperNPUBench/outputs/fa_d192_validcol_refresh_20261010/cases/fa_fp8_bf16_d192/kernel/fa/elf/；metadata: /Users/blacktraker/Programming/gitproj/DV4/SuperNPUBench/outputs/fa_d192_validcol_refresh_20261010/metadata.json；results: /Users/blacktraker/Programming/gitproj/DV4/SuperNPUBench/outputs/fa_d192_validcol_refresh_20261010/results.json</x:v>
      </x:c>
    </x:row>
    <x:row r="20" ht="48" customHeight="1">
      <x:c r="A20" s="855" t="str">
        <x:v>FA</x:v>
      </x:c>
      <x:c r="B20" s="861" t="str">
        <x:v>fp8</x:v>
      </x:c>
      <x:c r="C20" s="861" t="str">
        <x:v>bf16</x:v>
      </x:c>
      <x:c r="D20" s="861" t="n">
        <x:v>128</x:v>
      </x:c>
      <x:c r="E20" s="861" t="str">
        <x:v>[1,8192,8,128]</x:v>
      </x:c>
      <x:c r="F20" s="861" t="str">
        <x:v>BSND</x:v>
      </x:c>
      <x:c r="G20" s="891" t="n">
        <x:v>23.94</x:v>
      </x:c>
      <x:c r="H20" s="892" t="n">
        <x:v>0.9126</x:v>
      </x:c>
      <x:c r="I20" s="893" t="n">
        <x:v>35883</x:v>
      </x:c>
      <x:c r="J20" s="894" t="n">
        <x:f>IF(I20="","",I20/($B$4*1000))</x:f>
        <x:v>22.426875</x:v>
      </x:c>
      <x:c r="K20" s="893" t="n">
        <x:v>8192</x:v>
      </x:c>
      <x:c r="L20" s="893" t="n">
        <x:f>IF(I20="","",2*128*8192*D20/K20)</x:f>
        <x:v>32768</x:v>
      </x:c>
      <x:c r="M20" s="892" t="n">
        <x:f>IF(I20="","",L20/I20)</x:f>
        <x:v>0.9131900900147703</x:v>
      </x:c>
      <x:c r="N20" s="895" t="n">
        <x:f>IF(J20="","",J20/G20)</x:f>
        <x:v>0.9367951127819548</x:v>
      </x:c>
      <x:c r="O20" s="923" t="str">
        <x:v>PASS</x:v>
      </x:c>
      <x:c r="P20" s="944" t="str">
        <x:v>fa_gmma_opt; Tm=128; Tk=256</x:v>
      </x:c>
      <x:c r="Q20" s="944"/>
      <x:c r="R20" s="944" t="str">
        <x:v>标准精度实测路径已替换为 fa_gmma_opt。 融合 RowMax dtype 已按 PTO #346 跟随 final D。 /Users/blacktraker/Programming/gitproj/DV4/SuperNPUBench/outputs/fa_gmma_opt_refresh_20261009/cases/fa_fp8_bf16_d128/gfsim.log</x:v>
      </x:c>
    </x:row>
    <x:row r="21" ht="48" customHeight="1">
      <x:c r="A21" s="855" t="str">
        <x:v>FA</x:v>
      </x:c>
      <x:c r="B21" s="861" t="str">
        <x:v>fp8</x:v>
      </x:c>
      <x:c r="C21" s="861" t="str">
        <x:v>bf16</x:v>
      </x:c>
      <x:c r="D21" s="861" t="n">
        <x:v>64</x:v>
      </x:c>
      <x:c r="E21" s="861" t="str">
        <x:v>[1,8192,8,64]</x:v>
      </x:c>
      <x:c r="F21" s="861" t="str">
        <x:v>BSND</x:v>
      </x:c>
      <x:c r="G21" s="891" t="n">
        <x:v>16.12</x:v>
      </x:c>
      <x:c r="H21" s="892" t="n">
        <x:v>0.6776</x:v>
      </x:c>
      <x:c r="I21" s="893" t="n">
        <x:v>22792</x:v>
      </x:c>
      <x:c r="J21" s="894" t="n">
        <x:f>IF(I21="","",I21/($B$4*1000))</x:f>
        <x:v>14.245</x:v>
      </x:c>
      <x:c r="K21" s="893" t="n">
        <x:v>8192</x:v>
      </x:c>
      <x:c r="L21" s="893" t="n">
        <x:f>IF(I21="","",2*128*8192*D21/K21)</x:f>
        <x:v>16384</x:v>
      </x:c>
      <x:c r="M21" s="892" t="n">
        <x:f>IF(I21="","",L21/I21)</x:f>
        <x:v>0.7188487188487188</x:v>
      </x:c>
      <x:c r="N21" s="895" t="n">
        <x:f>IF(J21="","",J21/G21)</x:f>
        <x:v>0.8836848635235731</x:v>
      </x:c>
      <x:c r="O21" s="923" t="str">
        <x:v>PASS</x:v>
      </x:c>
      <x:c r="P21" s="944" t="str">
        <x:v>fa_gmma_opt; Tm=128; Tk=256</x:v>
      </x:c>
      <x:c r="Q21" s="944"/>
      <x:c r="R21" s="944" t="str">
        <x:v>标准精度实测路径已替换为 fa_gmma_opt。 融合 RowMax dtype 已按 PTO #346 跟随 final D。 /Users/blacktraker/Programming/gitproj/DV4/SuperNPUBench/outputs/fa_gmma_opt_refresh_20261009/cases/fa_fp8_bf16_d64/gfsim.log</x:v>
      </x:c>
    </x:row>
    <x:row r="22" ht="48" customHeight="1">
      <x:c r="A22" s="856" t="str">
        <x:v>FA</x:v>
      </x:c>
      <x:c r="B22" s="862" t="str">
        <x:v>bf16</x:v>
      </x:c>
      <x:c r="C22" s="862" t="str">
        <x:v>fp32</x:v>
      </x:c>
      <x:c r="D22" s="862" t="n">
        <x:v>256</x:v>
      </x:c>
      <x:c r="E22" s="862" t="str">
        <x:v>[1,8192,8,256]</x:v>
      </x:c>
      <x:c r="F22" s="862" t="str">
        <x:v>BSND</x:v>
      </x:c>
      <x:c r="G22" s="896"/>
      <x:c r="H22" s="897"/>
      <x:c r="I22" s="898" t="n">
        <x:v>157898</x:v>
      </x:c>
      <x:c r="J22" s="899" t="n">
        <x:f>IF(I22="","",I22/($B$4*1000))</x:f>
        <x:v>98.68625</x:v>
      </x:c>
      <x:c r="K22" s="898" t="n">
        <x:v>4096</x:v>
      </x:c>
      <x:c r="L22" s="898" t="n">
        <x:f>IF(I22="","",2*128*8192*D22/K22)</x:f>
        <x:v>131072</x:v>
      </x:c>
      <x:c r="M22" s="897" t="n">
        <x:f>IF(I22="","",L22/I22)</x:f>
        <x:v>0.8301055111527695</x:v>
      </x:c>
      <x:c r="N22" s="900"/>
      <x:c r="O22" s="924" t="str">
        <x:v>PASS</x:v>
      </x:c>
      <x:c r="P22" s="945" t="str">
        <x:v>fa_gmma_opt; Tm=128; Tk=128</x:v>
      </x:c>
      <x:c r="Q22" s="945"/>
      <x:c r="R22" s="945" t="str">
        <x:v>标准精度实测路径已替换为 fa_gmma_opt。 /Users/blacktraker/Programming/gitproj/DV4/SuperNPUBench/outputs/fa_gmma_opt_refresh_20261009/cases/fa_bf16_fp32_d256/gfsim.log</x:v>
      </x:c>
    </x:row>
    <x:row r="23" ht="48" customHeight="1">
      <x:c r="A23" s="857" t="str">
        <x:v>FA</x:v>
      </x:c>
      <x:c r="B23" s="863" t="str">
        <x:v>bf16</x:v>
      </x:c>
      <x:c r="C23" s="863" t="str">
        <x:v>fp32</x:v>
      </x:c>
      <x:c r="D23" s="863" t="n">
        <x:v>192</x:v>
      </x:c>
      <x:c r="E23" s="863" t="str">
        <x:v>[1,8192,8,128+64]</x:v>
      </x:c>
      <x:c r="F23" s="863" t="str">
        <x:v>BSND</x:v>
      </x:c>
      <x:c r="G23" s="901"/>
      <x:c r="H23" s="902"/>
      <x:c r="I23" s="903"/>
      <x:c r="J23" s="904"/>
      <x:c r="K23" s="903" t="n">
        <x:v>4096</x:v>
      </x:c>
      <x:c r="L23" s="903"/>
      <x:c r="M23" s="902"/>
      <x:c r="N23" s="905"/>
      <x:c r="O23" s="925" t="str">
        <x:v>MODEL_ASSERT</x:v>
      </x:c>
      <x:c r="P23" s="946" t="str">
        <x:v>fa_gmma_opt; Sq=128; Skv=8192; QD=VD=192; physical Col=256; ValidCol=192; Tm=128; Tk=128; softcore.multiThreadNum=4; cube.enable_internal_acc=true; cube.l0aSharetregResident=false; bctrl.vec_cell_sched_enable=false; bctrl.vecIssueQDepth=64; core.soc_random=false; core.soc_bw_limit=0; core.read_bandwidth_limit=256; core.soc_lat_mean=330; core.sharetreg_size_bytes=262144; core.sharetreg_ssb_count=64; core.sharetreg_bandwidth_bytes=256</x:v>
      </x:c>
      <x:c r="Q23" s="946"/>
      <x:c r="R23" s="946" t="str">
        <x:v>编译 PASS，反汇编确认 Col=256/ValidCol=192；gfsim 无有效 cycle：FPATR K/N=192，model-main ValidateOperandContract 要求 FPATR M/N/K 为 2 的幂。model=590b0fb8；compiler=e6a31efb；repo=188bf6c dirty；日志: /Users/blacktraker/Programming/gitproj/DV4/SuperNPUBench/outputs/fa_d192_validcol_refresh_20261010/cases/fa_bf16_fp32_d192/gfsim.log；ELF/反汇编: /Users/blacktraker/Programming/gitproj/DV4/SuperNPUBench/outputs/fa_d192_validcol_refresh_20261010/cases/fa_bf16_fp32_d192/kernel/fa/elf/；metadata: /Users/blacktraker/Programming/gitproj/DV4/SuperNPUBench/outputs/fa_d192_validcol_refresh_20261010/metadata.json；results: /Users/blacktraker/Programming/gitproj/DV4/SuperNPUBench/outputs/fa_d192_validcol_refresh_20261010/results.json</x:v>
      </x:c>
    </x:row>
    <x:row r="24" ht="48" customHeight="1">
      <x:c r="A24" s="857" t="str">
        <x:v>FA</x:v>
      </x:c>
      <x:c r="B24" s="863" t="str">
        <x:v>bf16</x:v>
      </x:c>
      <x:c r="C24" s="863" t="str">
        <x:v>fp32</x:v>
      </x:c>
      <x:c r="D24" s="863" t="n">
        <x:v>128</x:v>
      </x:c>
      <x:c r="E24" s="863" t="str">
        <x:v>[1,8192,8,128]</x:v>
      </x:c>
      <x:c r="F24" s="863" t="str">
        <x:v>BSND</x:v>
      </x:c>
      <x:c r="G24" s="901"/>
      <x:c r="H24" s="902"/>
      <x:c r="I24" s="903" t="n">
        <x:v>69102</x:v>
      </x:c>
      <x:c r="J24" s="904" t="n">
        <x:f>IF(I24="","",I24/($B$4*1000))</x:f>
        <x:v>43.18875</x:v>
      </x:c>
      <x:c r="K24" s="903" t="n">
        <x:v>4096</x:v>
      </x:c>
      <x:c r="L24" s="903" t="n">
        <x:f>IF(I24="","",2*128*8192*D24/K24)</x:f>
        <x:v>65536</x:v>
      </x:c>
      <x:c r="M24" s="902" t="n">
        <x:f>IF(I24="","",L24/I24)</x:f>
        <x:v>0.9483951260455559</x:v>
      </x:c>
      <x:c r="N24" s="905"/>
      <x:c r="O24" s="925" t="str">
        <x:v>PASS</x:v>
      </x:c>
      <x:c r="P24" s="946" t="str">
        <x:v>fa_gmma_opt; Tm=128; Tk=128</x:v>
      </x:c>
      <x:c r="Q24" s="946"/>
      <x:c r="R24" s="946" t="str">
        <x:v>标准精度实测路径已替换为 fa_gmma_opt。 /Users/blacktraker/Programming/gitproj/DV4/SuperNPUBench/outputs/fa_gmma_opt_refresh_20261009/cases/fa_bf16_fp32_d128/gfsim.log</x:v>
      </x:c>
    </x:row>
    <x:row r="25" ht="48" customHeight="1">
      <x:c r="A25" s="857" t="str">
        <x:v>FA</x:v>
      </x:c>
      <x:c r="B25" s="863" t="str">
        <x:v>bf16</x:v>
      </x:c>
      <x:c r="C25" s="863" t="str">
        <x:v>fp32</x:v>
      </x:c>
      <x:c r="D25" s="863" t="n">
        <x:v>64</x:v>
      </x:c>
      <x:c r="E25" s="863" t="str">
        <x:v>[1,8192,8,64]</x:v>
      </x:c>
      <x:c r="F25" s="863" t="str">
        <x:v>BSND</x:v>
      </x:c>
      <x:c r="G25" s="901"/>
      <x:c r="H25" s="902"/>
      <x:c r="I25" s="903" t="n">
        <x:v>40950</x:v>
      </x:c>
      <x:c r="J25" s="904" t="n">
        <x:f>IF(I25="","",I25/($B$4*1000))</x:f>
        <x:v>25.59375</x:v>
      </x:c>
      <x:c r="K25" s="903" t="n">
        <x:v>4096</x:v>
      </x:c>
      <x:c r="L25" s="903" t="n">
        <x:f>IF(I25="","",2*128*8192*D25/K25)</x:f>
        <x:v>32768</x:v>
      </x:c>
      <x:c r="M25" s="902" t="n">
        <x:f>IF(I25="","",L25/I25)</x:f>
        <x:v>0.8001953601953602</x:v>
      </x:c>
      <x:c r="N25" s="905"/>
      <x:c r="O25" s="925" t="str">
        <x:v>PASS</x:v>
      </x:c>
      <x:c r="P25" s="946" t="str">
        <x:v>fa_gmma_opt; Tm=128; Tk=128</x:v>
      </x:c>
      <x:c r="Q25" s="946"/>
      <x:c r="R25" s="946" t="str">
        <x:v>标准精度实测路径已替换为 fa_gmma_opt。 /Users/blacktraker/Programming/gitproj/DV4/SuperNPUBench/outputs/fa_gmma_opt_refresh_20261009/cases/fa_bf16_fp32_d64/gfsim.log</x:v>
      </x:c>
    </x:row>
    <x:row r="26" ht="48" customHeight="1">
      <x:c r="A26" s="852" t="str">
        <x:f>'Matmul原始数据'!A8</x:f>
        <x:v>matmul (ubm)</x:v>
      </x:c>
      <x:c r="B26" s="528" t="str">
        <x:f>'Matmul原始数据'!B8</x:f>
        <x:v>BF16</x:v>
      </x:c>
      <x:c r="C26" s="528" t="str">
        <x:v>-</x:v>
      </x:c>
      <x:c r="D26" s="528"/>
      <x:c r="E26" s="528" t="str">
        <x:f>'Matmul原始数据'!F8</x:f>
        <x:v>[256,7168,512]</x:v>
      </x:c>
      <x:c r="F26" s="528" t="str">
        <x:f>'Matmul原始数据'!G8</x:f>
        <x:v>B-major</x:v>
      </x:c>
      <x:c r="G26" s="876"/>
      <x:c r="H26" s="877"/>
      <x:c r="I26" s="878" t="n">
        <x:f>'Matmul原始数据'!O8</x:f>
        <x:v>517644</x:v>
      </x:c>
      <x:c r="J26" s="879" t="n">
        <x:f>'Matmul原始数据'!P8</x:f>
        <x:v>323.5275</x:v>
      </x:c>
      <x:c r="K26" s="878" t="n">
        <x:f>'Matmul原始数据'!Q8</x:f>
        <x:v>4096</x:v>
      </x:c>
      <x:c r="L26" s="878" t="n">
        <x:f>'Matmul原始数据'!R8</x:f>
        <x:v>229376</x:v>
      </x:c>
      <x:c r="M26" s="906" t="n">
        <x:f>'Matmul原始数据'!S8</x:f>
        <x:v>0.4431153456815881</x:v>
      </x:c>
      <x:c r="N26" s="880"/>
      <x:c r="O26" s="926" t="str">
        <x:f>'Matmul原始数据'!W8&amp;" / 类别最优"</x:f>
        <x:v>PASS / 类别最优</x:v>
      </x:c>
      <x:c r="P26" s="947" t="str">
        <x:f>'Matmul原始数据'!AB8</x:f>
        <x:v>matmul_shared; tM=128; tN=256; tK=256</x:v>
      </x:c>
      <x:c r="Q26" s="941" t="str">
        <x:f>'Matmul原始数据'!AA8</x:f>
        <x:v>cd /Users/blacktraker/Programming/gitproj/DV4/SuperScalarModel-main
bin/gfsim \
  -s softcore.multiThreadNum=4 \
  -s cube.enable_internal_acc=true \
  -s bctrl.vec_cell_sched_enable=true \
  -s core.soc_random=true \
  -s core.soc_lat_mean=0 \
  -s core.min_read_latency=330 \
  -s core.min_write_latency=330 \
  -s core.soc_bw_limit=100 \
  -s core.read_bandwidth_limit=100 \
  -s core.write_bandwidth_limit=100 \
  -s core.sharetreg_size_bytes=262144 \
  -s core.sharetreg_ssb_count=64 \
  -f "$ELF"</x:v>
      </x:c>
      <x:c r="R26" s="941" t="str">
        <x:f>'Matmul原始数据'!Z8</x:f>
        <x:v>PASS；规整 M/N/K；ELF=/Users/blacktraker/Programming/gitproj/DV4/SuperNPUBench/outputs/markdown_matmul_refresh_20261009/01_bf16_m256_n7168_k512/build/BF16_M256_N7168_K512_tM128_tN256_tK256/kernel/matmul/elf/kernel_matmul_matmul_shared_B1_M256_N7168_K512_tM128_tN256_tK256_DType__bf16.elf；gfsim log=/Users/blacktraker/Programming/gitproj/DV4/SuperNPUBench/outputs/markdown_matmul_refresh_20261009/01_bf16_m256_n7168_k512/logs/BF16_M256_N7168_K512_tM128_tN256_tK256.gfsim.log</x:v>
      </x:c>
    </x:row>
    <x:row r="27" ht="48" customHeight="1">
      <x:c r="A27" s="853"/>
      <x:c r="B27" s="480"/>
      <x:c r="C27" s="480"/>
      <x:c r="D27" s="480"/>
      <x:c r="E27" s="480"/>
      <x:c r="F27" s="480"/>
      <x:c r="G27" s="881"/>
      <x:c r="H27" s="882"/>
      <x:c r="I27" s="883" t="n">
        <x:f>'Matmul原始数据'!O15</x:f>
        <x:v>233006</x:v>
      </x:c>
      <x:c r="J27" s="884" t="n">
        <x:f>'Matmul原始数据'!P15</x:f>
        <x:v>145.62875</x:v>
      </x:c>
      <x:c r="K27" s="883" t="n">
        <x:f>'Matmul原始数据'!Q15</x:f>
        <x:v>4096</x:v>
      </x:c>
      <x:c r="L27" s="883" t="n">
        <x:f>'Matmul原始数据'!R15</x:f>
        <x:v>229376</x:v>
      </x:c>
      <x:c r="M27" s="907" t="n">
        <x:f>'Matmul原始数据'!S15</x:f>
        <x:v>0.9844210020342824</x:v>
      </x:c>
      <x:c r="N27" s="885"/>
      <x:c r="O27" s="927" t="str">
        <x:f>'Matmul原始数据'!W15&amp;" / 类别最优"</x:f>
        <x:v>PASS / 类别最优</x:v>
      </x:c>
      <x:c r="P27" s="948" t="str">
        <x:f>'Matmul原始数据'!AB15</x:f>
        <x:v>matmul_reuseA; tM=128; tN=128; tK=256</x:v>
      </x:c>
      <x:c r="Q27" s="942"/>
      <x:c r="R27" s="942" t="str">
        <x:f>'Matmul原始数据'!Z15</x:f>
        <x:v>PASS；reuseA；ELF=/Users/blacktraker/Programming/gitproj/DV4/SuperNPUBench/outputs/matmul_reuseA_refresh_20261010/sweep/build/BF16_M256_N7168_K512_tM128_tN128_tK256/kernel/matmul/elf/kernel_matmul_matmul_reuseA_B1_M256_N7168_K512_tM128_tN128_tK256_DType__bf16.elf；gfsim log=/Users/blacktraker/Programming/gitproj/DV4/SuperNPUBench/outputs/matmul_reuseA_refresh_20261010/sweep/logs/BF16_M256_N7168_K512_tM128_tN128_tK256.gfsim.log</x:v>
      </x:c>
    </x:row>
    <x:row r="28" ht="48" customHeight="1">
      <x:c r="A28" s="850" t="str">
        <x:f>'Matmul原始数据'!A26</x:f>
        <x:v>matmul (ubm)</x:v>
      </x:c>
      <x:c r="B28" s="819" t="str">
        <x:f>'Matmul原始数据'!B26</x:f>
        <x:v>BF16</x:v>
      </x:c>
      <x:c r="C28" s="819" t="str">
        <x:v>-</x:v>
      </x:c>
      <x:c r="D28" s="819"/>
      <x:c r="E28" s="819" t="str">
        <x:f>'Matmul原始数据'!F26</x:f>
        <x:v>[256,32767,128]</x:v>
      </x:c>
      <x:c r="F28" s="819" t="str">
        <x:f>'Matmul原始数据'!G26</x:f>
        <x:v>B-major</x:v>
      </x:c>
      <x:c r="G28" s="866"/>
      <x:c r="H28" s="867"/>
      <x:c r="I28" s="868" t="n">
        <x:f>'Matmul原始数据'!O26</x:f>
        <x:v>516077</x:v>
      </x:c>
      <x:c r="J28" s="869" t="n">
        <x:f>'Matmul原始数据'!P26</x:f>
        <x:v>322.548125</x:v>
      </x:c>
      <x:c r="K28" s="868" t="n">
        <x:f>'Matmul原始数据'!Q26</x:f>
        <x:v>4096</x:v>
      </x:c>
      <x:c r="L28" s="868" t="n">
        <x:f>'Matmul原始数据'!R26</x:f>
        <x:v>262136</x:v>
      </x:c>
      <x:c r="M28" s="906" t="n">
        <x:f>'Matmul原始数据'!S26</x:f>
        <x:v>0.5079397066716789</x:v>
      </x:c>
      <x:c r="N28" s="870"/>
      <x:c r="O28" s="928" t="str">
        <x:f>'Matmul原始数据'!W26&amp;" / 类别最优"</x:f>
        <x:v>PASS / 类别最优</x:v>
      </x:c>
      <x:c r="P28" s="949" t="str">
        <x:f>'Matmul原始数据'!AB26</x:f>
        <x:v>matmul_shared; tM=128; tN=256; tK=128</x:v>
      </x:c>
      <x:c r="Q28" s="939"/>
      <x:c r="R28" s="939" t="str">
        <x:f>'Matmul原始数据'!Z26</x:f>
        <x:v>PASS；matmul_shared；ELF=/Users/blacktraker/Programming/gitproj/DV4/SuperNPUBench/outputs/matmul_other4_refresh_20261010/sweep/02_bf16/build/BF16_M256_N32767_K128_tM128_tN256_tK128/kernel/matmul/elf/kernel_matmul_matmul_shared_B1_M256_N32767_K128_tM128_tN256_tK128_DType__bf16.elf；gfsim log=/Users/blacktraker/Programming/gitproj/DV4/SuperNPUBench/outputs/matmul_other4_refresh_20261010/sweep/02_bf16/logs/BF16_M256_N32767_K128_tM128_tN256_tK128.gfsim.log</x:v>
      </x:c>
    </x:row>
    <x:row r="29" ht="48" customHeight="1">
      <x:c r="A29" s="850"/>
      <x:c r="B29" s="819"/>
      <x:c r="C29" s="819"/>
      <x:c r="D29" s="819"/>
      <x:c r="E29" s="819"/>
      <x:c r="F29" s="819"/>
      <x:c r="G29" s="866"/>
      <x:c r="H29" s="867"/>
      <x:c r="I29" s="868" t="n">
        <x:f>'Matmul原始数据'!O29</x:f>
        <x:v>431896</x:v>
      </x:c>
      <x:c r="J29" s="869" t="n">
        <x:f>'Matmul原始数据'!P29</x:f>
        <x:v>269.935</x:v>
      </x:c>
      <x:c r="K29" s="868" t="n">
        <x:f>'Matmul原始数据'!Q29</x:f>
        <x:v>4096</x:v>
      </x:c>
      <x:c r="L29" s="868" t="n">
        <x:f>'Matmul原始数据'!R29</x:f>
        <x:v>262136</x:v>
      </x:c>
      <x:c r="M29" s="906" t="n">
        <x:f>'Matmul原始数据'!S29</x:f>
        <x:v>0.6069424120621632</x:v>
      </x:c>
      <x:c r="N29" s="870"/>
      <x:c r="O29" s="928" t="str">
        <x:f>'Matmul原始数据'!W29&amp;" / 类别最优"</x:f>
        <x:v>PASS / 类别最优</x:v>
      </x:c>
      <x:c r="P29" s="949" t="str">
        <x:f>'Matmul原始数据'!AB29</x:f>
        <x:v>matmul_reuseA; tM=128; tN=128; tK=64; tail=valid_row/valid_col</x:v>
      </x:c>
      <x:c r="Q29" s="939"/>
      <x:c r="R29" s="939" t="str">
        <x:f>'Matmul原始数据'!Z29</x:f>
        <x:v>PASS；matmul_reuseA；valid_row/valid_col 尾块处理；ELF=/Users/blacktraker/Programming/gitproj/DV4/SuperNPUBench/outputs/matmul_reuseA_other_shapes_20261010/sweep_bf16_m256_n32767_k128/build/BF16_M256_N32767_K128_tM128_tN128_tK64/kernel/matmul/elf/kernel_matmul_matmul_reuseA_B1_M256_N32767_K128_tM128_tN128_tK64_DType__bf16.elf；gfsim log=/Users/blacktraker/Programming/gitproj/DV4/SuperNPUBench/outputs/matmul_reuseA_other_shapes_20261010/sweep_bf16_m256_n32767_k128/logs/BF16_M256_N32767_K128_tM128_tN128_tK64.gfsim.log；source=/Users/blacktraker/Programming/gitproj/DV4/SuperNPUBench/benchmark/one-level-arch/kernels/basic_op/matmul/matmul_reuseA.hpp</x:v>
      </x:c>
    </x:row>
    <x:row r="30" ht="48" customHeight="1">
      <x:c r="A30" s="854" t="str">
        <x:f>'Matmul原始数据'!A39</x:f>
        <x:v>matmul (ubm)</x:v>
      </x:c>
      <x:c r="B30" s="822" t="str">
        <x:f>'Matmul原始数据'!B39</x:f>
        <x:v>FP16</x:v>
      </x:c>
      <x:c r="C30" s="822" t="str">
        <x:v>-</x:v>
      </x:c>
      <x:c r="D30" s="822"/>
      <x:c r="E30" s="822" t="str">
        <x:f>'Matmul原始数据'!F39</x:f>
        <x:v>[288,7392,256]</x:v>
      </x:c>
      <x:c r="F30" s="822" t="str">
        <x:f>'Matmul原始数据'!G39</x:f>
        <x:v>B-major</x:v>
      </x:c>
      <x:c r="G30" s="886"/>
      <x:c r="H30" s="887"/>
      <x:c r="I30" s="888" t="n">
        <x:f>'Matmul原始数据'!O39</x:f>
        <x:v>218744</x:v>
      </x:c>
      <x:c r="J30" s="889" t="n">
        <x:f>'Matmul原始数据'!P39</x:f>
        <x:v>136.715</x:v>
      </x:c>
      <x:c r="K30" s="888" t="n">
        <x:f>'Matmul原始数据'!Q39</x:f>
        <x:v>4096</x:v>
      </x:c>
      <x:c r="L30" s="888" t="n">
        <x:f>'Matmul原始数据'!R39</x:f>
        <x:v>133056</x:v>
      </x:c>
      <x:c r="M30" s="906" t="n">
        <x:f>'Matmul原始数据'!S39</x:f>
        <x:v>0.6082726840507625</x:v>
      </x:c>
      <x:c r="N30" s="890"/>
      <x:c r="O30" s="929" t="str">
        <x:f>'Matmul原始数据'!W39&amp;" / 类别最优"</x:f>
        <x:v>PASS / 类别最优</x:v>
      </x:c>
      <x:c r="P30" s="950" t="str">
        <x:f>'Matmul原始数据'!AB39</x:f>
        <x:v>matmul_shared; tM=128; tN=256; tK=64</x:v>
      </x:c>
      <x:c r="Q30" s="943"/>
      <x:c r="R30" s="943" t="str">
        <x:f>'Matmul原始数据'!Z39</x:f>
        <x:v>PASS；matmul_shared；ELF=/Users/blacktraker/Programming/gitproj/DV4/SuperNPUBench/outputs/matmul_other4_refresh_20261010/sweep/03_fp16/build/FP16_M288_N7392_K256_tM128_tN256_tK64/kernel/matmul/elf/kernel_matmul_matmul_shared_B1_M288_N7392_K256_tM128_tN256_tK64_DType__half.elf；gfsim log=/Users/blacktraker/Programming/gitproj/DV4/SuperNPUBench/outputs/matmul_other4_refresh_20261010/sweep/03_fp16/logs/FP16_M288_N7392_K256_tM128_tN256_tK64.gfsim.log</x:v>
      </x:c>
    </x:row>
    <x:row r="31" ht="48" customHeight="1">
      <x:c r="A31" s="854"/>
      <x:c r="B31" s="822"/>
      <x:c r="C31" s="822"/>
      <x:c r="D31" s="822"/>
      <x:c r="E31" s="822"/>
      <x:c r="F31" s="822"/>
      <x:c r="G31" s="886"/>
      <x:c r="H31" s="887"/>
      <x:c r="I31" s="888" t="n">
        <x:f>'Matmul原始数据'!O46</x:f>
        <x:v>175260</x:v>
      </x:c>
      <x:c r="J31" s="889" t="n">
        <x:f>'Matmul原始数据'!P46</x:f>
        <x:v>109.5375</x:v>
      </x:c>
      <x:c r="K31" s="888" t="n">
        <x:f>'Matmul原始数据'!Q46</x:f>
        <x:v>4096</x:v>
      </x:c>
      <x:c r="L31" s="888" t="n">
        <x:f>'Matmul原始数据'!R46</x:f>
        <x:v>133056</x:v>
      </x:c>
      <x:c r="M31" s="906" t="n">
        <x:f>'Matmul原始数据'!S46</x:f>
        <x:v>0.7591920575145498</x:v>
      </x:c>
      <x:c r="N31" s="890"/>
      <x:c r="O31" s="929" t="str">
        <x:f>'Matmul原始数据'!W46&amp;" / 类别最优"</x:f>
        <x:v>PASS / 类别最优</x:v>
      </x:c>
      <x:c r="P31" s="950" t="str">
        <x:f>'Matmul原始数据'!AB46</x:f>
        <x:v>matmul_reuseA; tM=128; tN=128; tK=128; tail=valid_row/valid_col</x:v>
      </x:c>
      <x:c r="Q31" s="943"/>
      <x:c r="R31" s="943" t="str">
        <x:f>'Matmul原始数据'!Z46</x:f>
        <x:v>PASS；matmul_reuseA；valid_row/valid_col 尾块处理；ELF=/Users/blacktraker/Programming/gitproj/DV4/SuperNPUBench/outputs/matmul_reuseA_other_shapes_20261010/sweep_fp16_m288_n7392_k256/build/FP16_M288_N7392_K256_tM128_tN128_tK128/kernel/matmul/elf/kernel_matmul_matmul_reuseA_B1_M288_N7392_K256_tM128_tN128_tK128_DType__half.elf；gfsim log=/Users/blacktraker/Programming/gitproj/DV4/SuperNPUBench/outputs/matmul_reuseA_other_shapes_20261010/sweep_fp16_m288_n7392_k256/logs/FP16_M288_N7392_K256_tM128_tN128_tK128.gfsim.log；source=/Users/blacktraker/Programming/gitproj/DV4/SuperNPUBench/benchmark/one-level-arch/kernels/basic_op/matmul/matmul_reuseA.hpp</x:v>
      </x:c>
    </x:row>
    <x:row r="32" ht="48" customHeight="1">
      <x:c r="A32" s="856" t="str">
        <x:f>'Matmul原始数据'!A54</x:f>
        <x:v>matmul (ubm)</x:v>
      </x:c>
      <x:c r="B32" s="862" t="str">
        <x:f>'Matmul原始数据'!B54</x:f>
        <x:v>HIF4</x:v>
      </x:c>
      <x:c r="C32" s="862" t="str">
        <x:v>-</x:v>
      </x:c>
      <x:c r="D32" s="862"/>
      <x:c r="E32" s="862" t="str">
        <x:f>'Matmul原始数据'!F54</x:f>
        <x:v>[48,7168,96]</x:v>
      </x:c>
      <x:c r="F32" s="862" t="str">
        <x:f>'Matmul原始数据'!G54</x:f>
        <x:v>B-major</x:v>
      </x:c>
      <x:c r="G32" s="896"/>
      <x:c r="H32" s="897"/>
      <x:c r="I32" s="898" t="n">
        <x:f>'Matmul原始数据'!O54</x:f>
        <x:v>48590</x:v>
      </x:c>
      <x:c r="J32" s="899" t="n">
        <x:f>'Matmul原始数据'!P54</x:f>
        <x:v>30.36875</x:v>
      </x:c>
      <x:c r="K32" s="898" t="n">
        <x:f>'Matmul原始数据'!Q54</x:f>
        <x:v>16384</x:v>
      </x:c>
      <x:c r="L32" s="898" t="n">
        <x:f>'Matmul原始数据'!R54</x:f>
        <x:v>2016</x:v>
      </x:c>
      <x:c r="M32" s="906" t="n">
        <x:f>'Matmul原始数据'!S54</x:f>
        <x:v>0.0414900185223297</x:v>
      </x:c>
      <x:c r="N32" s="900"/>
      <x:c r="O32" s="930" t="str">
        <x:f>'Matmul原始数据'!W54&amp;" / 类别最优"</x:f>
        <x:v>PASS / 类别最优</x:v>
      </x:c>
      <x:c r="P32" s="951" t="str">
        <x:f>'Matmul原始数据'!AB54</x:f>
        <x:v>matmul_lowp; tM=128; tN=128; tK=128</x:v>
      </x:c>
      <x:c r="Q32" s="945"/>
      <x:c r="R32" s="945" t="str">
        <x:f>'Matmul原始数据'!Z54</x:f>
        <x:v>PASS；matmul_lowp；ELF=/Users/blacktraker/Programming/gitproj/DV4/SuperNPUBench/outputs/matmul_other4_refresh_20261010/sweep/04_hif4_small/build/HIF4_M48_N7168_K96_tM128_tN128_tK128/kernel/matmul/elf/kernel_matmul_matmul_lowp_HIF4_B1_M48_N7168_K96_tM128_tN128_tK128.elf；gfsim log=/Users/blacktraker/Programming/gitproj/DV4/SuperNPUBench/outputs/matmul_other4_refresh_20261010/sweep/04_hif4_small/logs/HIF4_M48_N7168_K96_tM128_tN128_tK128.gfsim.log</x:v>
      </x:c>
    </x:row>
    <x:row r="33" ht="48" customHeight="1">
      <x:c r="A33" s="858" t="str">
        <x:f>'Matmul原始数据'!A58</x:f>
        <x:v>matmul (ubm)</x:v>
      </x:c>
      <x:c r="B33" s="864" t="str">
        <x:f>'Matmul原始数据'!B58</x:f>
        <x:v>HIF4</x:v>
      </x:c>
      <x:c r="C33" s="864" t="str">
        <x:v>-</x:v>
      </x:c>
      <x:c r="D33" s="864"/>
      <x:c r="E33" s="864" t="str">
        <x:f>'Matmul原始数据'!F58</x:f>
        <x:v>[256,4096,1280]</x:v>
      </x:c>
      <x:c r="F33" s="864" t="str">
        <x:f>'Matmul原始数据'!G58</x:f>
        <x:v>B-major</x:v>
      </x:c>
      <x:c r="G33" s="908"/>
      <x:c r="H33" s="909"/>
      <x:c r="I33" s="910" t="n">
        <x:f>'Matmul原始数据'!O58</x:f>
        <x:v>332490</x:v>
      </x:c>
      <x:c r="J33" s="911" t="n">
        <x:f>'Matmul原始数据'!P58</x:f>
        <x:v>207.80625</x:v>
      </x:c>
      <x:c r="K33" s="910" t="n">
        <x:f>'Matmul原始数据'!Q58</x:f>
        <x:v>16384</x:v>
      </x:c>
      <x:c r="L33" s="910" t="n">
        <x:f>'Matmul原始数据'!R58</x:f>
        <x:v>81920</x:v>
      </x:c>
      <x:c r="M33" s="906" t="n">
        <x:f>'Matmul原始数据'!S58</x:f>
        <x:v>0.2463833498751842</x:v>
      </x:c>
      <x:c r="N33" s="912"/>
      <x:c r="O33" s="931" t="str">
        <x:f>'Matmul原始数据'!W58&amp;" / 类别最优"</x:f>
        <x:v>PASS / 类别最优</x:v>
      </x:c>
      <x:c r="P33" s="952" t="str">
        <x:f>'Matmul原始数据'!AB58</x:f>
        <x:v>matmul_lowp; tM=128; tN=128; tK=256</x:v>
      </x:c>
      <x:c r="Q33" s="945"/>
      <x:c r="R33" s="953" t="str">
        <x:f>'Matmul原始数据'!Z58</x:f>
        <x:v>PASS；matmul_lowp；ELF=/Users/blacktraker/Programming/gitproj/DV4/SuperNPUBench/outputs/matmul_other4_refresh_20261010/sweep/05_hif4_large_effective/build/HIF4_M256_N4096_K1280_tM128_tN128_tK256/kernel/matmul/elf/kernel_matmul_matmul_lowp_HIF4_B1_M256_N4096_K1280_tM128_tN128_tK256.elf；gfsim log=/Users/blacktraker/Programming/gitproj/DV4/SuperNPUBench/outputs/matmul_other4_refresh_20261010/sweep/05_hif4_large_effective/logs/HIF4_M256_N4096_K1280_tM128_tN128_tK256.gfsim.log</x:v>
      </x:c>
    </x:row>
    <x:row r="34" ht="48" customHeight="1">
      <x:c r="A34" s="854" t="str">
        <x:v>vector</x:v>
      </x:c>
      <x:c r="B34" s="822" t="str">
        <x:v>rms-norm</x:v>
      </x:c>
      <x:c r="C34" s="822" t="str">
        <x:v>fp16</x:v>
      </x:c>
      <x:c r="D34" s="822"/>
      <x:c r="E34" s="822" t="str">
        <x:v>[128,8192]</x:v>
      </x:c>
      <x:c r="F34" s="822" t="str">
        <x:v>RowMajor</x:v>
      </x:c>
      <x:c r="G34" s="886"/>
      <x:c r="H34" s="887"/>
      <x:c r="I34" s="888" t="n">
        <x:v>51222</x:v>
      </x:c>
      <x:c r="J34" s="889" t="n">
        <x:f>IF(I34="","",I34/($B$4*1000))</x:f>
        <x:v>32.01375</x:v>
      </x:c>
      <x:c r="K34" s="888"/>
      <x:c r="L34" s="888"/>
      <x:c r="M34" s="887"/>
      <x:c r="N34" s="890"/>
      <x:c r="O34" s="922" t="str">
        <x:v>PASS</x:v>
      </x:c>
      <x:c r="P34" s="943" t="str">
        <x:v>rms_norm_dynamic_tree_32k; G_A=128; G_R=8192; PE_NUM=4; softcore.multiThreadNum=4; cube.enable_internal_acc=true; bctrl.vec_cell_sched_enable=true; core.soc_random=true; core.soc_bw_limit=113; core.soc_lat_mean=330; core.sharetreg_size_bytes=262144; core.sharetreg_ssb_count=64</x:v>
      </x:c>
      <x:c r="Q34" s="943"/>
      <x:c r="R34" s="943" t="str">
        <x:v>tree [128,8192]: 51,222 cycles / 32.014 us；SIMT 同 shape: 75,893 cycles / 47.433 us，tree 少 32.51% cycles；SIMT [128,16384]: 132,320 cycles / 82.700 us；tree [128,16384] 在 TROWSUM deadlock，无有效 cycle。model=590b0fb8；compiler=e6a31efb；repo=188bf6c dirty；日志: /Users/blacktraker/Programming/gitproj/DV4/SuperNPUBench/outputs/operator_perf_20261009/logs/rms_norm_dynamic_tree_32k_gR8192.gfsim.log；汇总: /Users/blacktraker/Programming/gitproj/DV4/SuperNPUBench/outputs/operator_perf_20261009/results.tsv</x:v>
      </x:c>
    </x:row>
    <x:row r="35" ht="48" customHeight="1">
      <x:c r="A35" s="856" t="str">
        <x:v>vector</x:v>
      </x:c>
      <x:c r="B35" s="862" t="str">
        <x:v>mxquant</x:v>
      </x:c>
      <x:c r="C35" s="862" t="str">
        <x:v>bf16 -&gt; e4m3 + e8m0</x:v>
      </x:c>
      <x:c r="D35" s="862"/>
      <x:c r="E35" s="862" t="str">
        <x:v>[512,256], group=32</x:v>
      </x:c>
      <x:c r="F35" s="862" t="str">
        <x:v>RowMajor</x:v>
      </x:c>
      <x:c r="G35" s="896"/>
      <x:c r="H35" s="897"/>
      <x:c r="I35" s="898"/>
      <x:c r="J35" s="899" t="str">
        <x:f>IF(I35="","",I35/($B$4*1000))</x:f>
      </x:c>
      <x:c r="K35" s="898"/>
      <x:c r="L35" s="898"/>
      <x:c r="M35" s="897"/>
      <x:c r="N35" s="900"/>
      <x:c r="O35" s="924" t="str">
        <x:v>MODEL_ASSERT</x:v>
      </x:c>
      <x:c r="P35" s="945" t="str">
        <x:v>mxquant; PE_NUM=4; softcore.multiThreadNum=4; cube.enable_internal_acc=true; bctrl.vec_cell_sched_enable=true; core.soc_random=true; core.soc_bw_limit=113; core.soc_lat_mean=330; core.sharetreg_size_bytes=262144; core.sharetreg_ssb_count=64</x:v>
      </x:c>
      <x:c r="Q35" s="945"/>
      <x:c r="R35" s="945" t="str">
        <x:v>编译 PASS；完整 mxquant、compute、compute_tabs 均命中 PTO #311 row reduction destinationShape.requiredBytes 断言，无有效 cycle。仅输入展开对照 mxquant_texpands PASS: 1,093 cycles / 0.683 us，不作为完整算子性能。model=590b0fb8；compiler=e6a31efb；repo=188bf6c dirty；日志: /Users/blacktraker/Programming/gitproj/DV4/SuperNPUBench/outputs/operator_perf_20261009/logs/mxquant.gfsim.log；汇总: /Users/blacktraker/Programming/gitproj/DV4/SuperNPUBench/outputs/operator_perf_20261009/results.tsv</x:v>
      </x:c>
    </x:row>
    <x:row r="36" ht="21" customHeight="1">
      <x:c r="A36" s="859" t="str">
        <x:v>待定</x:v>
      </x:c>
      <x:c r="B36" s="865"/>
      <x:c r="C36" s="865"/>
      <x:c r="D36" s="865"/>
      <x:c r="E36" s="865"/>
      <x:c r="F36" s="865"/>
      <x:c r="G36" s="913"/>
      <x:c r="H36" s="914"/>
      <x:c r="I36" s="915"/>
      <x:c r="J36" s="916"/>
      <x:c r="K36" s="915"/>
      <x:c r="L36" s="915"/>
      <x:c r="M36" s="914"/>
      <x:c r="N36" s="917"/>
      <x:c r="O36" s="932"/>
      <x:c r="P36" s="954"/>
      <x:c r="Q36" s="954"/>
      <x:c r="R36" s="954"/>
    </x:row>
    <x:row r="37" ht="34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</x:row>
    <x:row r="38" ht="34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</x:row>
    <x:row r="39" ht="34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</x:row>
    <x:row r="40" ht="34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</x:row>
    <x:row r="41" ht="34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</x:row>
    <x:row r="42" ht="34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</x:row>
    <x:row r="43" ht="34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</x:row>
    <x:row r="44" ht="34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</x:row>
    <x:row r="45" ht="34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</x:row>
    <x:row r="46" ht="34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</x:row>
    <x:row r="47" ht="34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</x:row>
    <x:row r="48" ht="34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</x:row>
    <x:row r="49" ht="34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</x:row>
    <x:row r="50" ht="34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</x:row>
    <x:row r="51" ht="34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</x:row>
    <x:row r="52" ht="34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</x:row>
    <x:row r="53" ht="34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</x:row>
    <x:row r="54" ht="34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</x:row>
    <x:row r="55" ht="34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</x:row>
    <x:row r="56" ht="34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</x:row>
    <x:row r="57" ht="34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</x:row>
    <x:row r="58" ht="34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</x:row>
    <x:row r="59" ht="34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</x:row>
    <x:row r="60" ht="34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</x:row>
    <x:row r="61" ht="34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</x:row>
    <x:row r="62" ht="34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</x:row>
    <x:row r="63" ht="34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</x:row>
    <x:row r="64" ht="34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</x:row>
    <x:row r="65" ht="34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</x:row>
    <x:row r="66" ht="34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</x:row>
    <x:row r="67" ht="34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</x:row>
    <x:row r="68" ht="34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</x:row>
    <x:row r="69" ht="34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</x:row>
    <x:row r="70" ht="34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</x:row>
    <x:row r="71" ht="34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</x:row>
    <x:row r="72" ht="34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</x:row>
    <x:row r="73" ht="34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</x:row>
    <x:row r="74" ht="34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</x:row>
    <x:row r="75" ht="34" customHeigh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</x:row>
    <x:row r="76" ht="34" customHeigh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</x:row>
    <x:row r="77" ht="34" customHeigh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</x:row>
    <x:row r="78" ht="34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</x:row>
    <x:row r="79" ht="34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</x:row>
    <x:row r="80" ht="34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</x:row>
    <x:row r="81" ht="34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</x:row>
    <x:row r="82" ht="34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</x:row>
    <x:row r="83" ht="34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</x:row>
    <x:row r="84" ht="34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</x:row>
    <x:row r="85" ht="34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</x:row>
    <x:row r="86" ht="34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</x:row>
    <x:row r="87" ht="34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</x:row>
    <x:row r="88" ht="34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</x:row>
    <x:row r="89" ht="34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</x:row>
    <x:row r="90" ht="34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</x:row>
    <x:row r="91" ht="34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</x:row>
    <x:row r="92" ht="34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</x:row>
    <x:row r="93" ht="34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</x:row>
    <x:row r="94" ht="34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</x:row>
    <x:row r="95" ht="34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</x:row>
    <x:row r="96" ht="34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</x:row>
    <x:row r="97" ht="34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</x:row>
    <x:row r="98" ht="34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</x:row>
    <x:row r="99" ht="34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</x:row>
    <x:row r="100" ht="34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</x:row>
    <x:row r="101" ht="34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</x:row>
    <x:row r="102" ht="34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</x:row>
    <x:row r="103" ht="34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</x:row>
    <x:row r="104" ht="34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</x:row>
    <x:row r="105" ht="34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</x:row>
    <x:row r="106" ht="34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</x:row>
    <x:row r="107" ht="34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</x:row>
    <x:row r="108" ht="34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</x:row>
    <x:row r="109" ht="34" customHeight="1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</x:row>
    <x:row r="110" ht="78" customHeight="1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</x:row>
    <x:row r="111" ht="78" customHeight="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</x:row>
    <x:row r="112" ht="34" customHeight="1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</x:row>
  </x:sheetData>
  <x:mergeCells>
    <x:mergeCell ref="G4:Q4"/>
    <x:mergeCell ref="G5:Q6"/>
    <x:mergeCell ref="A8:F8"/>
    <x:mergeCell ref="G8:H8"/>
    <x:mergeCell ref="I8:M8"/>
    <x:mergeCell ref="O8:R8"/>
    <x:mergeCell ref="A26:A27"/>
    <x:mergeCell ref="B26:B27"/>
    <x:mergeCell ref="C26:C27"/>
    <x:mergeCell ref="D26:D27"/>
    <x:mergeCell ref="E26:E27"/>
    <x:mergeCell ref="F26:F27"/>
    <x:mergeCell ref="G26:G27"/>
    <x:mergeCell ref="H26:H27"/>
    <x:mergeCell ref="A28:A29"/>
    <x:mergeCell ref="B28:B29"/>
    <x:mergeCell ref="C28:C29"/>
    <x:mergeCell ref="D28:D29"/>
    <x:mergeCell ref="E28:E29"/>
    <x:mergeCell ref="F28:F29"/>
    <x:mergeCell ref="G28:G29"/>
    <x:mergeCell ref="H28:H29"/>
    <x:mergeCell ref="A30:A31"/>
    <x:mergeCell ref="B30:B31"/>
    <x:mergeCell ref="C30:C31"/>
    <x:mergeCell ref="D30:D31"/>
    <x:mergeCell ref="E30:E31"/>
    <x:mergeCell ref="F30:F31"/>
    <x:mergeCell ref="G30:G31"/>
    <x:mergeCell ref="H30:H31"/>
    <x:mergeCell ref="Q26:Q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8.890000343322754" hidden="0" customWidth="1"/>
    <x:col min="2" max="2" width="8.670000076293945" hidden="0" customWidth="1"/>
    <x:col min="3" max="3" width="9.5600004196167" hidden="0" customWidth="1"/>
    <x:col min="4" max="4" width="9.109999656677246" hidden="0" customWidth="1"/>
    <x:col min="5" max="5" width="9.109999656677246" hidden="0" customWidth="1"/>
    <x:col min="6" max="6" width="9.109999656677246" hidden="0" customWidth="1"/>
    <x:col min="7" max="7" width="13.109999656677246" hidden="0" customWidth="1"/>
    <x:col min="8" max="8" width="10.220000267028809" hidden="0" customWidth="1"/>
    <x:col min="9" max="9" width="10.220000267028809" hidden="0" customWidth="1"/>
    <x:col min="10" max="10" width="10.220000267028809" hidden="0" customWidth="1"/>
    <x:col min="11" max="11" width="11.109999656677246" hidden="0" customWidth="1"/>
    <x:col min="12" max="12" width="13.329999923706055" hidden="0" customWidth="1"/>
    <x:col min="13" max="13" width="45.560001373291016" hidden="0" customWidth="1"/>
  </x:cols>
  <x:sheetData>
    <x:row r="1">
      <x:c r="A1" s="363"/>
      <x:c r="B1" s="363"/>
      <x:c r="C1" s="363"/>
      <x:c r="D1" s="363"/>
      <x:c r="E1" s="363"/>
      <x:c r="F1" s="363"/>
      <x:c r="G1" s="363"/>
      <x:c r="H1" s="363"/>
      <x:c r="I1" s="363"/>
      <x:c r="J1" s="363"/>
      <x:c r="K1" s="363"/>
      <x:c r="L1" s="363"/>
      <x:c r="M1" s="363"/>
    </x:row>
    <x:row r="2" ht="19.5" customHeight="1">
      <x:c r="A2" s="364" t="str">
        <x:v>FA FP8 / BF16 D=256 TileK 择优（fa_gmma_opt）</x:v>
      </x:c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</x:row>
    <x:row r="3">
      <x:c r="A3" s="363"/>
      <x:c r="B3" s="363"/>
      <x:c r="C3" s="363"/>
      <x:c r="D3" s="363"/>
      <x:c r="E3" s="363"/>
      <x:c r="F3" s="363"/>
      <x:c r="G3" s="363"/>
      <x:c r="H3" s="363"/>
      <x:c r="I3" s="363"/>
      <x:c r="J3" s="363"/>
      <x:c r="K3" s="363"/>
      <x:c r="L3" s="363"/>
      <x:c r="M3" s="363"/>
    </x:row>
    <x:row r="4" ht="19.5" customHeight="1">
      <x:c r="A4" s="365" t="str">
        <x:v>配置</x:v>
      </x:c>
      <x:c r="B4" s="363" t="str">
        <x:v>[1,8192,8,256] BSND</x:v>
      </x:c>
      <x:c r="C4" s="363"/>
      <x:c r="D4" s="366" t="str">
        <x:v>time (us) 公式</x:v>
      </x:c>
      <x:c r="E4" s="536" t="str">
        <x:v>= cycles / (1.6 × 1000) = cycles / 1600</x:v>
      </x:c>
      <x:c r="F4" s="536"/>
      <x:c r="G4" s="536"/>
      <x:c r="H4" s="536"/>
      <x:c r="I4" s="536"/>
      <x:c r="J4" s="536"/>
      <x:c r="K4" s="536"/>
      <x:c r="L4" s="536"/>
      <x:c r="M4" s="536"/>
    </x:row>
    <x:row r="5" ht="22.5" customHeight="1">
      <x:c r="A5" s="365" t="str">
        <x:v>固定参数</x:v>
      </x:c>
      <x:c r="B5" s="363" t="str">
        <x:v>Sq=128; Skv=8192; HeadDim=256; Tm=128</x:v>
      </x:c>
      <x:c r="C5" s="363"/>
      <x:c r="D5" s="366" t="str">
        <x:v>MFU 公式</x:v>
      </x:c>
      <x:c r="E5" s="536" t="str">
        <x:v>= [2 × 128 × 8192 × 256 / 8192] / cycles = 65536 / cycles</x:v>
      </x:c>
      <x:c r="F5" s="536"/>
      <x:c r="G5" s="536"/>
      <x:c r="H5" s="536"/>
      <x:c r="I5" s="536"/>
      <x:c r="J5" s="536"/>
      <x:c r="K5" s="536"/>
      <x:c r="L5" s="536"/>
      <x:c r="M5" s="536"/>
    </x:row>
    <x:row r="6" ht="22.5" customHeight="1">
      <x:c r="A6" s="365" t="str">
        <x:v>频率</x:v>
      </x:c>
      <x:c r="B6" s="363" t="str">
        <x:v>1.6 GHz</x:v>
      </x:c>
      <x:c r="C6" s="363"/>
      <x:c r="D6" s="366" t="str">
        <x:v>SharedTReg 上限</x:v>
      </x:c>
      <x:c r="E6" s="536" t="str">
        <x:v>256 KiB</x:v>
      </x:c>
      <x:c r="F6" s="536"/>
      <x:c r="G6" s="536"/>
      <x:c r="H6" s="536"/>
      <x:c r="I6" s="536"/>
      <x:c r="J6" s="536"/>
      <x:c r="K6" s="536"/>
      <x:c r="L6" s="536"/>
      <x:c r="M6" s="536"/>
    </x:row>
    <x:row r="7" ht="22.5" customHeight="1">
      <x:c r="A7" s="365" t="str">
        <x:v>最优配置</x:v>
      </x:c>
      <x:c r="B7" s="363" t="str">
        <x:v>Tm=128; Tk=128</x:v>
      </x:c>
      <x:c r="C7" s="363"/>
      <x:c r="D7" s="366" t="str">
        <x:v>结论</x:v>
      </x:c>
      <x:c r="E7" s="536" t="str">
        <x:v>Tk=128 最优；Tk 太小增加 KV block/调度开销，Tk=256 增大驻留与流水压力，Tk≥512 超容量。</x:v>
      </x:c>
      <x:c r="F7" s="536"/>
      <x:c r="G7" s="536"/>
      <x:c r="H7" s="536"/>
      <x:c r="I7" s="536"/>
      <x:c r="J7" s="536"/>
      <x:c r="K7" s="536"/>
      <x:c r="L7" s="536"/>
      <x:c r="M7" s="536"/>
    </x:row>
    <x:row r="8">
      <x:c r="A8" s="363"/>
      <x:c r="B8" s="363"/>
      <x:c r="C8" s="363"/>
      <x:c r="D8" s="363"/>
      <x:c r="E8" s="363"/>
      <x:c r="F8" s="363"/>
      <x:c r="G8" s="363"/>
      <x:c r="H8" s="363"/>
      <x:c r="I8" s="363"/>
      <x:c r="J8" s="363"/>
      <x:c r="K8" s="363"/>
      <x:c r="L8" s="363"/>
      <x:c r="M8" s="363"/>
    </x:row>
    <x:row r="9" ht="30" customHeight="1">
      <x:c r="A9" s="553" t="str">
        <x:v>Tm</x:v>
      </x:c>
      <x:c r="B9" s="553" t="str">
        <x:v>Tk</x:v>
      </x:c>
      <x:c r="C9" s="553" t="str">
        <x:v>KV blocks</x:v>
      </x:c>
      <x:c r="D9" s="553" t="str">
        <x:v>Q (KiB)</x:v>
      </x:c>
      <x:c r="E9" s="553" t="str">
        <x:v>K (KiB)</x:v>
      </x:c>
      <x:c r="F9" s="553" t="str">
        <x:v>V (KiB)</x:v>
      </x:c>
      <x:c r="G9" s="553" t="str">
        <x:v>峰值 Q+K+V (KiB)</x:v>
      </x:c>
      <x:c r="H9" s="553" t="str">
        <x:v>cycles</x:v>
      </x:c>
      <x:c r="I9" s="553" t="str">
        <x:v>time (us)</x:v>
      </x:c>
      <x:c r="J9" s="553" t="str">
        <x:v>MFU</x:v>
      </x:c>
      <x:c r="K9" s="553" t="str">
        <x:v>cycles vs best</x:v>
      </x:c>
      <x:c r="L9" s="553" t="str">
        <x:v>状态</x:v>
      </x:c>
      <x:c r="M9" s="553" t="str">
        <x:v>gfsim 日志 / 说明</x:v>
      </x:c>
    </x:row>
    <x:row r="10" ht="25.5" customHeight="1">
      <x:c r="A10" s="568" t="n">
        <x:v>128</x:v>
      </x:c>
      <x:c r="B10" s="568" t="n">
        <x:v>32</x:v>
      </x:c>
      <x:c r="C10" s="568" t="n">
        <x:v>256</x:v>
      </x:c>
      <x:c r="D10" s="568" t="n">
        <x:v>32</x:v>
      </x:c>
      <x:c r="E10" s="568" t="n">
        <x:v>8</x:v>
      </x:c>
      <x:c r="F10" s="568" t="n">
        <x:v>8</x:v>
      </x:c>
      <x:c r="G10" s="568" t="n">
        <x:v>48</x:v>
      </x:c>
      <x:c r="H10" s="568" t="n">
        <x:v>158012</x:v>
      </x:c>
      <x:c r="I10" s="569" t="n">
        <x:f>H10/1600</x:f>
        <x:v>98.7575</x:v>
      </x:c>
      <x:c r="J10" s="570" t="n">
        <x:f>65536/H10</x:f>
        <x:v>0.41475330987519937</x:v>
      </x:c>
      <x:c r="K10" s="570" t="n">
        <x:f>H10/MIN($H$10:$H$13)-1</x:f>
        <x:v>1.2739465807045822</x:v>
      </x:c>
      <x:c r="L10" s="571" t="str">
        <x:v>PASS</x:v>
      </x:c>
      <x:c r="M10" s="447" t="str">
        <x:v>/Users/blacktraker/Programming/gitproj/DV4/SuperNPUBench/outputs/fa_fp8_bf16_d256_tk_sweep_20261009/cases/tm128_tk32/gfsim.log</x:v>
      </x:c>
    </x:row>
    <x:row r="11" ht="25.5" customHeight="1">
      <x:c r="A11" s="572" t="n">
        <x:v>128</x:v>
      </x:c>
      <x:c r="B11" s="572" t="n">
        <x:v>64</x:v>
      </x:c>
      <x:c r="C11" s="572" t="n">
        <x:v>128</x:v>
      </x:c>
      <x:c r="D11" s="572" t="n">
        <x:v>32</x:v>
      </x:c>
      <x:c r="E11" s="572" t="n">
        <x:v>16</x:v>
      </x:c>
      <x:c r="F11" s="572" t="n">
        <x:v>16</x:v>
      </x:c>
      <x:c r="G11" s="572" t="n">
        <x:v>64</x:v>
      </x:c>
      <x:c r="H11" s="572" t="n">
        <x:v>81327</x:v>
      </x:c>
      <x:c r="I11" s="573" t="n">
        <x:f>H11/1600</x:f>
        <x:v>50.829375</x:v>
      </x:c>
      <x:c r="J11" s="574" t="n">
        <x:f>65536/H11</x:f>
        <x:v>0.8058332411130374</x:v>
      </x:c>
      <x:c r="K11" s="574" t="n">
        <x:f>H11/MIN($H$10:$H$13)-1</x:f>
        <x:v>0.1703747409624683</x:v>
      </x:c>
      <x:c r="L11" s="575" t="str">
        <x:v>PASS</x:v>
      </x:c>
      <x:c r="M11" s="455" t="str">
        <x:v>/Users/blacktraker/Programming/gitproj/DV4/SuperNPUBench/outputs/fa_fp8_bf16_d256_tk_sweep_20261009/cases/tm128_tk64/gfsim.log</x:v>
      </x:c>
    </x:row>
    <x:row r="12" ht="25.5" customHeight="1">
      <x:c r="A12" s="576" t="n">
        <x:v>128</x:v>
      </x:c>
      <x:c r="B12" s="576" t="n">
        <x:v>128</x:v>
      </x:c>
      <x:c r="C12" s="576" t="n">
        <x:v>64</x:v>
      </x:c>
      <x:c r="D12" s="576" t="n">
        <x:v>32</x:v>
      </x:c>
      <x:c r="E12" s="576" t="n">
        <x:v>32</x:v>
      </x:c>
      <x:c r="F12" s="576" t="n">
        <x:v>32</x:v>
      </x:c>
      <x:c r="G12" s="576" t="n">
        <x:v>96</x:v>
      </x:c>
      <x:c r="H12" s="576" t="n">
        <x:v>69488</x:v>
      </x:c>
      <x:c r="I12" s="577" t="n">
        <x:f>H12/1600</x:f>
        <x:v>43.43</x:v>
      </x:c>
      <x:c r="J12" s="578" t="n">
        <x:f>65536/H12</x:f>
        <x:v>0.9431268708266175</x:v>
      </x:c>
      <x:c r="K12" s="578" t="n">
        <x:f>H12/MIN($H$10:$H$13)-1</x:f>
        <x:v>0</x:v>
      </x:c>
      <x:c r="L12" s="579" t="str">
        <x:v>PASS</x:v>
      </x:c>
      <x:c r="M12" s="591" t="str">
        <x:v>/Users/blacktraker/Programming/gitproj/DV4/SuperNPUBench/outputs/fa_fp8_bf16_d256_tk_sweep_20261009/cases/tm128_tk128/gfsim.log</x:v>
      </x:c>
    </x:row>
    <x:row r="13" ht="25.5" customHeight="1">
      <x:c r="A13" s="572" t="n">
        <x:v>128</x:v>
      </x:c>
      <x:c r="B13" s="572" t="n">
        <x:v>256</x:v>
      </x:c>
      <x:c r="C13" s="572" t="n">
        <x:v>32</x:v>
      </x:c>
      <x:c r="D13" s="572" t="n">
        <x:v>32</x:v>
      </x:c>
      <x:c r="E13" s="572" t="n">
        <x:v>64</x:v>
      </x:c>
      <x:c r="F13" s="572" t="n">
        <x:v>64</x:v>
      </x:c>
      <x:c r="G13" s="572" t="n">
        <x:v>160</x:v>
      </x:c>
      <x:c r="H13" s="572" t="n">
        <x:v>77487</x:v>
      </x:c>
      <x:c r="I13" s="573" t="n">
        <x:f>H13/1600</x:f>
        <x:v>48.429375</x:v>
      </x:c>
      <x:c r="J13" s="574" t="n">
        <x:f>65536/H13</x:f>
        <x:v>0.8457676771587492</x:v>
      </x:c>
      <x:c r="K13" s="574" t="n">
        <x:f>H13/MIN($H$10:$H$13)-1</x:f>
        <x:v>0.11511340087497124</x:v>
      </x:c>
      <x:c r="L13" s="575" t="str">
        <x:v>PASS</x:v>
      </x:c>
      <x:c r="M13" s="455" t="str">
        <x:v>/Users/blacktraker/Programming/gitproj/DV4/SuperNPUBench/outputs/fa_fp8_bf16_d256_tk_sweep_20261009/cases/tm128_tk256/gfsim.log</x:v>
      </x:c>
    </x:row>
    <x:row r="14" ht="25.5" customHeight="1">
      <x:c r="A14" s="581" t="n">
        <x:v>128</x:v>
      </x:c>
      <x:c r="B14" s="581" t="n">
        <x:v>512</x:v>
      </x:c>
      <x:c r="C14" s="581" t="n">
        <x:v>16</x:v>
      </x:c>
      <x:c r="D14" s="581" t="n">
        <x:v>32</x:v>
      </x:c>
      <x:c r="E14" s="581" t="n">
        <x:v>128</x:v>
      </x:c>
      <x:c r="F14" s="581" t="n">
        <x:v>128</x:v>
      </x:c>
      <x:c r="G14" s="581" t="n">
        <x:v>288</x:v>
      </x:c>
      <x:c r="H14" s="581"/>
      <x:c r="I14" s="582"/>
      <x:c r="J14" s="583"/>
      <x:c r="K14" s="583"/>
      <x:c r="L14" s="584" t="str">
        <x:v>SKIPPED_CAPACITY</x:v>
      </x:c>
      <x:c r="M14" s="592" t="str">
        <x:v>peak live Q+K+V footprint 288.0 KiB exceeds 256 KiB</x:v>
      </x:c>
    </x:row>
    <x:row r="15" ht="25.5" customHeight="1">
      <x:c r="A15" s="586" t="n">
        <x:v>128</x:v>
      </x:c>
      <x:c r="B15" s="586" t="n">
        <x:v>1024</x:v>
      </x:c>
      <x:c r="C15" s="586" t="n">
        <x:v>8</x:v>
      </x:c>
      <x:c r="D15" s="586" t="n">
        <x:v>32</x:v>
      </x:c>
      <x:c r="E15" s="586" t="n">
        <x:v>256</x:v>
      </x:c>
      <x:c r="F15" s="586" t="n">
        <x:v>256</x:v>
      </x:c>
      <x:c r="G15" s="586" t="n">
        <x:v>544</x:v>
      </x:c>
      <x:c r="H15" s="586"/>
      <x:c r="I15" s="587"/>
      <x:c r="J15" s="588"/>
      <x:c r="K15" s="588"/>
      <x:c r="L15" s="589" t="str">
        <x:v>SKIPPED_CAPACITY</x:v>
      </x:c>
      <x:c r="M15" s="593" t="str">
        <x:v>peak live Q+K+V footprint 544.0 KiB exceeds 256 KiB</x:v>
      </x:c>
    </x:row>
  </x:sheetData>
  <x:mergeCells>
    <x:mergeCell ref="A2:M2"/>
    <x:mergeCell ref="B4:C4"/>
    <x:mergeCell ref="E4:M4"/>
    <x:mergeCell ref="B5:C5"/>
    <x:mergeCell ref="E5:M5"/>
    <x:mergeCell ref="B6:C6"/>
    <x:mergeCell ref="E6:M6"/>
    <x:mergeCell ref="B7:C7"/>
    <x:mergeCell ref="E7:M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F8C8D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.329999923706055" hidden="0" customWidth="1"/>
    <x:col min="2" max="2" width="7.78000020980835" hidden="0" customWidth="1"/>
    <x:col min="3" max="3" width="6.670000076293945" hidden="0" customWidth="1"/>
    <x:col min="4" max="4" width="8.890000343322754" hidden="0" customWidth="1"/>
    <x:col min="5" max="5" width="7.78000020980835" hidden="0" customWidth="1"/>
    <x:col min="6" max="6" width="14.670000076293945" hidden="0" customWidth="1"/>
    <x:col min="7" max="7" width="8.670000076293945" hidden="0" customWidth="1"/>
    <x:col min="8" max="8" width="14.670000076293945" hidden="0" customWidth="1"/>
    <x:col min="9" max="9" width="6.670000076293945" hidden="0" customWidth="1"/>
    <x:col min="10" max="10" width="6.670000076293945" hidden="0" customWidth="1"/>
    <x:col min="11" max="11" width="6.670000076293945" hidden="0" customWidth="1"/>
    <x:col min="12" max="12" width="9.779999732971191" hidden="0" customWidth="1"/>
    <x:col min="13" max="13" width="9.779999732971191" hidden="0" customWidth="1"/>
    <x:col min="14" max="14" width="10.4399995803833" hidden="0" customWidth="1"/>
    <x:col min="15" max="15" width="10.220000267028809" hidden="0" customWidth="1"/>
    <x:col min="16" max="16" width="9.779999732971191" hidden="0" customWidth="1"/>
    <x:col min="17" max="17" width="11.329999923706055" hidden="0" customWidth="1"/>
    <x:col min="18" max="18" width="10.890000343322754" hidden="0" customWidth="1"/>
    <x:col min="19" max="19" width="8.670000076293945" hidden="0" customWidth="1"/>
    <x:col min="20" max="20" width="12" hidden="0" customWidth="1"/>
    <x:col min="21" max="21" width="12" hidden="0" customWidth="1"/>
    <x:col min="22" max="22" width="12.4399995803833" hidden="0" customWidth="1"/>
    <x:col min="23" max="23" width="11.109999656677246" hidden="0" customWidth="1"/>
    <x:col min="24" max="24" width="33.33000183105469" hidden="0" customWidth="1"/>
    <x:col min="25" max="25" width="33.33000183105469" hidden="0" customWidth="1"/>
    <x:col min="26" max="26" width="40" hidden="0" customWidth="1"/>
    <x:col min="27" max="27" width="31.110000610351562" hidden="0" customWidth="1"/>
    <x:col min="28" max="28" width="23.329999923706055" hidden="0" customWidth="1"/>
    <x:col min="29" max="29" width="9.329999923706055" hidden="0" customWidth="1"/>
  </x:cols>
  <x:sheetData>
    <x:row r="1">
      <x:c r="A1" s="363"/>
      <x:c r="B1" s="363"/>
      <x:c r="C1" s="363"/>
      <x:c r="D1" s="363"/>
      <x:c r="E1" s="363"/>
      <x:c r="F1" s="363"/>
      <x:c r="G1" s="363"/>
      <x:c r="H1" s="363"/>
      <x:c r="I1" s="363"/>
      <x:c r="J1" s="363"/>
      <x:c r="K1" s="363"/>
      <x:c r="L1" s="363"/>
      <x:c r="M1" s="363"/>
      <x:c r="N1" s="363"/>
      <x:c r="O1" s="363"/>
      <x:c r="P1" s="363"/>
      <x:c r="Q1" s="363"/>
      <x:c r="R1" s="363"/>
      <x:c r="S1" s="363"/>
      <x:c r="T1" s="363"/>
      <x:c r="U1" s="363"/>
      <x:c r="V1" s="363"/>
      <x:c r="W1" s="363"/>
      <x:c r="X1" s="363"/>
      <x:c r="Y1" s="363"/>
      <x:c r="Z1" s="363"/>
      <x:c r="AA1" s="363"/>
      <x:c r="AB1" s="363"/>
      <x:c r="AC1" s="363"/>
    </x:row>
    <x:row r="2" ht="19.5" customHeight="1">
      <x:c r="A2" s="364" t="str">
        <x:v>Matmul 原始性能数据（BW100 / latency330，shared + reuseA tile sweep）</x:v>
      </x:c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  <x:c r="N2" s="364"/>
      <x:c r="O2" s="364"/>
      <x:c r="P2" s="364"/>
      <x:c r="Q2" s="364"/>
      <x:c r="R2" s="364"/>
      <x:c r="S2" s="364"/>
      <x:c r="T2" s="364"/>
      <x:c r="U2" s="364"/>
      <x:c r="V2" s="364"/>
      <x:c r="W2" s="364"/>
      <x:c r="X2" s="364"/>
      <x:c r="Y2" s="364"/>
      <x:c r="Z2" s="364"/>
      <x:c r="AA2" s="364"/>
      <x:c r="AB2" s="364"/>
      <x:c r="AC2" s="364"/>
    </x:row>
    <x:row r="3">
      <x:c r="A3" s="363"/>
      <x:c r="B3" s="363"/>
      <x:c r="C3" s="363"/>
      <x:c r="D3" s="363"/>
      <x:c r="E3" s="363"/>
      <x:c r="F3" s="363"/>
      <x:c r="G3" s="363"/>
      <x:c r="H3" s="363"/>
      <x:c r="I3" s="363"/>
      <x:c r="J3" s="363"/>
      <x:c r="K3" s="363"/>
      <x:c r="L3" s="363"/>
      <x:c r="M3" s="363"/>
      <x:c r="N3" s="363"/>
      <x:c r="O3" s="363"/>
      <x:c r="P3" s="363"/>
      <x:c r="Q3" s="363"/>
      <x:c r="R3" s="363"/>
      <x:c r="S3" s="363"/>
      <x:c r="T3" s="363"/>
      <x:c r="U3" s="363"/>
      <x:c r="V3" s="363"/>
      <x:c r="W3" s="363"/>
      <x:c r="X3" s="363"/>
      <x:c r="Y3" s="363"/>
      <x:c r="Z3" s="363"/>
      <x:c r="AA3" s="363"/>
      <x:c r="AB3" s="363"/>
      <x:c r="AC3" s="363"/>
    </x:row>
    <x:row r="4" ht="18" customHeight="1">
      <x:c r="A4" s="594" t="str">
        <x:v>数据来源：model-main gfsim 实测；主表按同一 shape 与实现类别选择最小 cycles 的 PASS 行；reuseA 的非规整 M/N 使用 valid_row/valid_col 尾块处理。</x:v>
      </x:c>
      <x:c r="B4" s="594"/>
      <x:c r="C4" s="594"/>
      <x:c r="D4" s="594"/>
      <x:c r="E4" s="594"/>
      <x:c r="F4" s="594"/>
      <x:c r="G4" s="594"/>
      <x:c r="H4" s="594"/>
      <x:c r="I4" s="594"/>
      <x:c r="J4" s="594"/>
      <x:c r="K4" s="594"/>
      <x:c r="L4" s="594"/>
      <x:c r="M4" s="594"/>
      <x:c r="N4" s="594"/>
      <x:c r="O4" s="594"/>
      <x:c r="P4" s="594"/>
      <x:c r="Q4" s="594"/>
      <x:c r="R4" s="594"/>
      <x:c r="S4" s="594"/>
      <x:c r="T4" s="594"/>
      <x:c r="U4" s="594"/>
      <x:c r="V4" s="594"/>
      <x:c r="W4" s="594"/>
      <x:c r="X4" s="594"/>
      <x:c r="Y4" s="594"/>
      <x:c r="Z4" s="594"/>
      <x:c r="AA4" s="594"/>
      <x:c r="AB4" s="594"/>
      <x:c r="AC4" s="594"/>
    </x:row>
    <x:row r="5">
      <x:c r="A5" s="363"/>
      <x:c r="B5" s="363"/>
      <x:c r="C5" s="363"/>
      <x:c r="D5" s="363"/>
      <x:c r="E5" s="363"/>
      <x:c r="F5" s="363"/>
      <x:c r="G5" s="363"/>
      <x:c r="H5" s="363"/>
      <x:c r="I5" s="363"/>
      <x:c r="J5" s="363"/>
      <x:c r="K5" s="363"/>
      <x:c r="L5" s="363"/>
      <x:c r="M5" s="363"/>
      <x:c r="N5" s="363"/>
      <x:c r="O5" s="363"/>
      <x:c r="P5" s="363"/>
      <x:c r="Q5" s="363"/>
      <x:c r="R5" s="363"/>
      <x:c r="S5" s="363"/>
      <x:c r="T5" s="363"/>
      <x:c r="U5" s="363"/>
      <x:c r="V5" s="363"/>
      <x:c r="W5" s="363"/>
      <x:c r="X5" s="363"/>
      <x:c r="Y5" s="363"/>
      <x:c r="Z5" s="363"/>
      <x:c r="AA5" s="363"/>
      <x:c r="AB5" s="363"/>
      <x:c r="AC5" s="363"/>
    </x:row>
    <x:row r="6" ht="21" customHeight="1">
      <x:c r="A6" s="595" t="str">
        <x:v>Shape 与类型</x:v>
      </x:c>
      <x:c r="B6" s="596"/>
      <x:c r="C6" s="596"/>
      <x:c r="D6" s="596"/>
      <x:c r="E6" s="596"/>
      <x:c r="F6" s="596"/>
      <x:c r="G6" s="596"/>
      <x:c r="H6" s="596" t="str">
        <x:v>实现与 Tile</x:v>
      </x:c>
      <x:c r="I6" s="596"/>
      <x:c r="J6" s="596"/>
      <x:c r="K6" s="596"/>
      <x:c r="L6" s="596"/>
      <x:c r="M6" s="596"/>
      <x:c r="N6" s="596"/>
      <x:c r="O6" s="596" t="str">
        <x:v>性能与带宽</x:v>
      </x:c>
      <x:c r="P6" s="596"/>
      <x:c r="Q6" s="596"/>
      <x:c r="R6" s="596"/>
      <x:c r="S6" s="596"/>
      <x:c r="T6" s="596"/>
      <x:c r="U6" s="596"/>
      <x:c r="V6" s="596"/>
      <x:c r="W6" s="596" t="str">
        <x:v>状态与复现证据</x:v>
      </x:c>
      <x:c r="X6" s="596"/>
      <x:c r="Y6" s="596"/>
      <x:c r="Z6" s="596"/>
      <x:c r="AA6" s="596"/>
      <x:c r="AB6" s="596"/>
      <x:c r="AC6" s="597"/>
    </x:row>
    <x:row r="7" ht="31.5" customHeight="1">
      <x:c r="A7" s="598" t="str">
        <x:v>category</x:v>
      </x:c>
      <x:c r="B7" s="598" t="str">
        <x:v>dtype</x:v>
      </x:c>
      <x:c r="C7" s="598" t="str">
        <x:v>M</x:v>
      </x:c>
      <x:c r="D7" s="598" t="str">
        <x:v>N</x:v>
      </x:c>
      <x:c r="E7" s="598" t="str">
        <x:v>K</x:v>
      </x:c>
      <x:c r="F7" s="598" t="str">
        <x:v>shape</x:v>
      </x:c>
      <x:c r="G7" s="598" t="str">
        <x:v>排布</x:v>
      </x:c>
      <x:c r="H7" s="598" t="str">
        <x:v>实现方法</x:v>
      </x:c>
      <x:c r="I7" s="598" t="str">
        <x:v>tM</x:v>
      </x:c>
      <x:c r="J7" s="598" t="str">
        <x:v>tN</x:v>
      </x:c>
      <x:c r="K7" s="598" t="str">
        <x:v>tK</x:v>
      </x:c>
      <x:c r="L7" s="598" t="str">
        <x:v>Tile A (KiB)</x:v>
      </x:c>
      <x:c r="M7" s="598" t="str">
        <x:v>Tile B (KiB)</x:v>
      </x:c>
      <x:c r="N7" s="598" t="str">
        <x:v>Shared (KiB)</x:v>
      </x:c>
      <x:c r="O7" s="598" t="str">
        <x:v>cycles</x:v>
      </x:c>
      <x:c r="P7" s="598" t="str">
        <x:v>time (us)</x:v>
      </x:c>
      <x:c r="Q7" s="598" t="str">
        <x:v>Peak FMA/cycle</x:v>
      </x:c>
      <x:c r="R7" s="598" t="str">
        <x:v>理论 cycles</x:v>
      </x:c>
      <x:c r="S7" s="598" t="str">
        <x:v>MFU</x:v>
      </x:c>
      <x:c r="T7" s="598" t="str">
        <x:v>读带宽需求 (B/c)</x:v>
      </x:c>
      <x:c r="U7" s="598" t="str">
        <x:v>写带宽需求 (B/c)</x:v>
      </x:c>
      <x:c r="V7" s="598" t="str">
        <x:v>带宽约束利用率</x:v>
      </x:c>
      <x:c r="W7" s="598" t="str">
        <x:v>状态</x:v>
      </x:c>
      <x:c r="X7" s="598" t="str">
        <x:v>ELF</x:v>
      </x:c>
      <x:c r="Y7" s="598" t="str">
        <x:v>gfsim log</x:v>
      </x:c>
      <x:c r="Z7" s="598" t="str">
        <x:v>证据 / 说明</x:v>
      </x:c>
      <x:c r="AA7" s="598" t="str">
        <x:v>复现命令</x:v>
      </x:c>
      <x:c r="AB7" s="598" t="str">
        <x:v>主表算子配置</x:v>
      </x:c>
      <x:c r="AC7" s="598" t="str">
        <x:v>主表入选</x:v>
      </x:c>
    </x:row>
    <x:row r="8" ht="31.5" customHeight="1">
      <x:c r="A8" s="974" t="str">
        <x:v>matmul (ubm)</x:v>
      </x:c>
      <x:c r="B8" s="974" t="str">
        <x:v>BF16</x:v>
      </x:c>
      <x:c r="C8" s="981" t="n">
        <x:v>256</x:v>
      </x:c>
      <x:c r="D8" s="981" t="n">
        <x:v>7168</x:v>
      </x:c>
      <x:c r="E8" s="981" t="n">
        <x:v>512</x:v>
      </x:c>
      <x:c r="F8" s="974" t="str">
        <x:v>[256,7168,512]</x:v>
      </x:c>
      <x:c r="G8" s="974" t="str">
        <x:v>B-major</x:v>
      </x:c>
      <x:c r="H8" s="974" t="str">
        <x:v>matmul_shared</x:v>
      </x:c>
      <x:c r="I8" s="988" t="n">
        <x:v>128</x:v>
      </x:c>
      <x:c r="J8" s="988" t="n">
        <x:v>256</x:v>
      </x:c>
      <x:c r="K8" s="988" t="n">
        <x:v>256</x:v>
      </x:c>
      <x:c r="L8" s="989" t="n">
        <x:v>64</x:v>
      </x:c>
      <x:c r="M8" s="989" t="n">
        <x:v>128</x:v>
      </x:c>
      <x:c r="N8" s="989" t="n">
        <x:v>192</x:v>
      </x:c>
      <x:c r="O8" s="990" t="n">
        <x:v>517644</x:v>
      </x:c>
      <x:c r="P8" s="991" t="n">
        <x:v>323.5275</x:v>
      </x:c>
      <x:c r="Q8" s="990" t="n">
        <x:v>4096</x:v>
      </x:c>
      <x:c r="R8" s="990" t="n">
        <x:v>229376</x:v>
      </x:c>
      <x:c r="S8" s="992" t="n">
        <x:v>0.4431153456815881</x:v>
      </x:c>
      <x:c r="T8" s="989" t="n">
        <x:v>96</x:v>
      </x:c>
      <x:c r="U8" s="989" t="n">
        <x:v>64</x:v>
      </x:c>
      <x:c r="V8" s="993" t="n">
        <x:v>1</x:v>
      </x:c>
      <x:c r="W8" s="665" t="str">
        <x:v>PASS</x:v>
      </x:c>
      <x:c r="X8" s="1023" t="str">
        <x:v>/Users/blacktraker/Programming/gitproj/DV4/SuperNPUBench/outputs/markdown_matmul_refresh_20261009/01_bf16_m256_n7168_k512/build/BF16_M256_N7168_K512_tM128_tN256_tK256/kernel/matmul/elf/kernel_matmul_matmul_shared_B1_M256_N7168_K512_tM128_tN256_tK256_DType__bf16.elf</x:v>
      </x:c>
      <x:c r="Y8" s="1023" t="str">
        <x:v>/Users/blacktraker/Programming/gitproj/DV4/SuperNPUBench/outputs/markdown_matmul_refresh_20261009/01_bf16_m256_n7168_k512/logs/BF16_M256_N7168_K512_tM128_tN256_tK256.gfsim.log</x:v>
      </x:c>
      <x:c r="Z8" s="1023" t="str">
        <x:v>PASS；规整 M/N/K；ELF=/Users/blacktraker/Programming/gitproj/DV4/SuperNPUBench/outputs/markdown_matmul_refresh_20261009/01_bf16_m256_n7168_k512/build/BF16_M256_N7168_K512_tM128_tN256_tK256/kernel/matmul/elf/kernel_matmul_matmul_shared_B1_M256_N7168_K512_tM128_tN256_tK256_DType__bf16.elf；gfsim log=/Users/blacktraker/Programming/gitproj/DV4/SuperNPUBench/outputs/markdown_matmul_refresh_20261009/01_bf16_m256_n7168_k512/logs/BF16_M256_N7168_K512_tM128_tN256_tK256.gfsim.log</x:v>
      </x:c>
      <x:c r="AA8" s="1023" t="str">
        <x:v>cd /Users/blacktraker/Programming/gitproj/DV4/SuperScalarModel-main
bin/gfsim \
  -s softcore.multiThreadNum=4 \
  -s cube.enable_internal_acc=true \
  -s bctrl.vec_cell_sched_enable=true \
  -s core.soc_random=true \
  -s core.soc_lat_mean=0 \
  -s core.min_read_latency=330 \
  -s core.min_write_latency=330 \
  -s core.soc_bw_limit=100 \
  -s core.read_bandwidth_limit=100 \
  -s core.write_bandwidth_limit=100 \
  -s core.sharetreg_size_bytes=262144 \
  -s core.sharetreg_ssb_count=64 \
  -f "$ELF"</x:v>
      </x:c>
      <x:c r="AB8" s="1023" t="str">
        <x:v>matmul_shared; tM=128; tN=256; tK=256</x:v>
      </x:c>
      <x:c r="AC8" s="959" t="str">
        <x:v>是</x:v>
      </x:c>
    </x:row>
    <x:row r="9" ht="31.5" customHeight="1">
      <x:c r="A9" s="975" t="str">
        <x:v>matmul (ubm)</x:v>
      </x:c>
      <x:c r="B9" s="975" t="str">
        <x:v>BF16</x:v>
      </x:c>
      <x:c r="C9" s="982" t="n">
        <x:v>256</x:v>
      </x:c>
      <x:c r="D9" s="982" t="n">
        <x:v>7168</x:v>
      </x:c>
      <x:c r="E9" s="982" t="n">
        <x:v>512</x:v>
      </x:c>
      <x:c r="F9" s="975" t="str">
        <x:v>[256,7168,512]</x:v>
      </x:c>
      <x:c r="G9" s="975" t="str">
        <x:v>B-major</x:v>
      </x:c>
      <x:c r="H9" s="975" t="str">
        <x:v>matmul_reuseA</x:v>
      </x:c>
      <x:c r="I9" s="982" t="n">
        <x:v>128</x:v>
      </x:c>
      <x:c r="J9" s="982" t="n">
        <x:v>64</x:v>
      </x:c>
      <x:c r="K9" s="982" t="n">
        <x:v>64</x:v>
      </x:c>
      <x:c r="L9" s="994" t="n">
        <x:v>4</x:v>
      </x:c>
      <x:c r="M9" s="994" t="n">
        <x:v>8</x:v>
      </x:c>
      <x:c r="N9" s="994" t="n">
        <x:v>8</x:v>
      </x:c>
      <x:c r="O9" s="982" t="n">
        <x:v>306005</x:v>
      </x:c>
      <x:c r="P9" s="995" t="n">
        <x:v>191.253125</x:v>
      </x:c>
      <x:c r="Q9" s="982" t="n">
        <x:v>4096</x:v>
      </x:c>
      <x:c r="R9" s="982" t="n">
        <x:v>229376</x:v>
      </x:c>
      <x:c r="S9" s="996" t="n">
        <x:v>0.7495825231613863</x:v>
      </x:c>
      <x:c r="T9" s="994" t="n">
        <x:v>64</x:v>
      </x:c>
      <x:c r="U9" s="994" t="n">
        <x:v>256</x:v>
      </x:c>
      <x:c r="V9" s="996" t="n">
        <x:v>1</x:v>
      </x:c>
      <x:c r="W9" s="674" t="str">
        <x:v>PASS</x:v>
      </x:c>
      <x:c r="X9" s="942" t="str">
        <x:v>/Users/blacktraker/Programming/gitproj/DV4/SuperNPUBench/outputs/matmul_reuseA_refresh_20261010/sweep/build/BF16_M256_N7168_K512_tM128_tN64_tK64/kernel/matmul/elf/kernel_matmul_matmul_reuseA_B1_M256_N7168_K512_tM128_tN64_tK64_DType__bf16.elf</x:v>
      </x:c>
      <x:c r="Y9" s="942" t="str">
        <x:v>/Users/blacktraker/Programming/gitproj/DV4/SuperNPUBench/outputs/matmul_reuseA_refresh_20261010/sweep/logs/BF16_M256_N7168_K512_tM128_tN64_tK64.gfsim.log</x:v>
      </x:c>
      <x:c r="Z9" s="942" t="str">
        <x:v>PASS；reuseA；ELF=/Users/blacktraker/Programming/gitproj/DV4/SuperNPUBench/outputs/matmul_reuseA_refresh_20261010/sweep/build/BF16_M256_N7168_K512_tM128_tN64_tK64/kernel/matmul/elf/kernel_matmul_matmul_reuseA_B1_M256_N7168_K512_tM128_tN64_tK64_DType__bf16.elf；gfsim log=/Users/blacktraker/Programming/gitproj/DV4/SuperNPUBench/outputs/matmul_reuseA_refresh_20261010/sweep/logs/BF16_M256_N7168_K512_tM128_tN64_tK64.gfsim.log</x:v>
      </x:c>
      <x:c r="AA9" s="942"/>
      <x:c r="AB9" s="942" t="str">
        <x:v>matmul_reuseA; tM=128; tN=64; tK=64</x:v>
      </x:c>
      <x:c r="AC9" s="674" t="str">
        <x:v>否</x:v>
      </x:c>
    </x:row>
    <x:row r="10" ht="31.5" customHeight="1">
      <x:c r="A10" s="975" t="str">
        <x:v>matmul (ubm)</x:v>
      </x:c>
      <x:c r="B10" s="975" t="str">
        <x:v>BF16</x:v>
      </x:c>
      <x:c r="C10" s="982" t="n">
        <x:v>256</x:v>
      </x:c>
      <x:c r="D10" s="982" t="n">
        <x:v>7168</x:v>
      </x:c>
      <x:c r="E10" s="982" t="n">
        <x:v>512</x:v>
      </x:c>
      <x:c r="F10" s="975" t="str">
        <x:v>[256,7168,512]</x:v>
      </x:c>
      <x:c r="G10" s="975" t="str">
        <x:v>B-major</x:v>
      </x:c>
      <x:c r="H10" s="975" t="str">
        <x:v>matmul_reuseA</x:v>
      </x:c>
      <x:c r="I10" s="982" t="n">
        <x:v>128</x:v>
      </x:c>
      <x:c r="J10" s="982" t="n">
        <x:v>64</x:v>
      </x:c>
      <x:c r="K10" s="982" t="n">
        <x:v>128</x:v>
      </x:c>
      <x:c r="L10" s="994" t="n">
        <x:v>8</x:v>
      </x:c>
      <x:c r="M10" s="994" t="n">
        <x:v>16</x:v>
      </x:c>
      <x:c r="N10" s="994" t="n">
        <x:v>16</x:v>
      </x:c>
      <x:c r="O10" s="982" t="n">
        <x:v>254433</x:v>
      </x:c>
      <x:c r="P10" s="995" t="n">
        <x:v>159.020625</x:v>
      </x:c>
      <x:c r="Q10" s="982" t="n">
        <x:v>4096</x:v>
      </x:c>
      <x:c r="R10" s="982" t="n">
        <x:v>229376</x:v>
      </x:c>
      <x:c r="S10" s="996" t="n">
        <x:v>0.9015182778963421</x:v>
      </x:c>
      <x:c r="T10" s="994" t="n">
        <x:v>64</x:v>
      </x:c>
      <x:c r="U10" s="994" t="n">
        <x:v>128</x:v>
      </x:c>
      <x:c r="V10" s="996" t="n">
        <x:v>1</x:v>
      </x:c>
      <x:c r="W10" s="674" t="str">
        <x:v>PASS</x:v>
      </x:c>
      <x:c r="X10" s="942" t="str">
        <x:v>/Users/blacktraker/Programming/gitproj/DV4/SuperNPUBench/outputs/matmul_reuseA_refresh_20261010/sweep/build/BF16_M256_N7168_K512_tM128_tN64_tK128/kernel/matmul/elf/kernel_matmul_matmul_reuseA_B1_M256_N7168_K512_tM128_tN64_tK128_DType__bf16.elf</x:v>
      </x:c>
      <x:c r="Y10" s="942" t="str">
        <x:v>/Users/blacktraker/Programming/gitproj/DV4/SuperNPUBench/outputs/matmul_reuseA_refresh_20261010/sweep/logs/BF16_M256_N7168_K512_tM128_tN64_tK128.gfsim.log</x:v>
      </x:c>
      <x:c r="Z10" s="942" t="str">
        <x:v>PASS；reuseA；ELF=/Users/blacktraker/Programming/gitproj/DV4/SuperNPUBench/outputs/matmul_reuseA_refresh_20261010/sweep/build/BF16_M256_N7168_K512_tM128_tN64_tK128/kernel/matmul/elf/kernel_matmul_matmul_reuseA_B1_M256_N7168_K512_tM128_tN64_tK128_DType__bf16.elf；gfsim log=/Users/blacktraker/Programming/gitproj/DV4/SuperNPUBench/outputs/matmul_reuseA_refresh_20261010/sweep/logs/BF16_M256_N7168_K512_tM128_tN64_tK128.gfsim.log</x:v>
      </x:c>
      <x:c r="AA10" s="942"/>
      <x:c r="AB10" s="942" t="str">
        <x:v>matmul_reuseA; tM=128; tN=64; tK=128</x:v>
      </x:c>
      <x:c r="AC10" s="674" t="str">
        <x:v>否</x:v>
      </x:c>
    </x:row>
    <x:row r="11" ht="31.5" customHeight="1">
      <x:c r="A11" s="975" t="str">
        <x:v>matmul (ubm)</x:v>
      </x:c>
      <x:c r="B11" s="975" t="str">
        <x:v>BF16</x:v>
      </x:c>
      <x:c r="C11" s="982" t="n">
        <x:v>256</x:v>
      </x:c>
      <x:c r="D11" s="982" t="n">
        <x:v>7168</x:v>
      </x:c>
      <x:c r="E11" s="982" t="n">
        <x:v>512</x:v>
      </x:c>
      <x:c r="F11" s="975" t="str">
        <x:v>[256,7168,512]</x:v>
      </x:c>
      <x:c r="G11" s="975" t="str">
        <x:v>B-major</x:v>
      </x:c>
      <x:c r="H11" s="975" t="str">
        <x:v>matmul_reuseA</x:v>
      </x:c>
      <x:c r="I11" s="982" t="n">
        <x:v>128</x:v>
      </x:c>
      <x:c r="J11" s="982" t="n">
        <x:v>64</x:v>
      </x:c>
      <x:c r="K11" s="982" t="n">
        <x:v>256</x:v>
      </x:c>
      <x:c r="L11" s="994" t="n">
        <x:v>16</x:v>
      </x:c>
      <x:c r="M11" s="994" t="n">
        <x:v>32</x:v>
      </x:c>
      <x:c r="N11" s="994" t="n">
        <x:v>32</x:v>
      </x:c>
      <x:c r="O11" s="982" t="n">
        <x:v>239175</x:v>
      </x:c>
      <x:c r="P11" s="995" t="n">
        <x:v>149.484375</x:v>
      </x:c>
      <x:c r="Q11" s="982" t="n">
        <x:v>4096</x:v>
      </x:c>
      <x:c r="R11" s="982" t="n">
        <x:v>229376</x:v>
      </x:c>
      <x:c r="S11" s="996" t="n">
        <x:v>0.9590299989547403</x:v>
      </x:c>
      <x:c r="T11" s="994" t="n">
        <x:v>64</x:v>
      </x:c>
      <x:c r="U11" s="994" t="n">
        <x:v>64</x:v>
      </x:c>
      <x:c r="V11" s="996" t="n">
        <x:v>1</x:v>
      </x:c>
      <x:c r="W11" s="674" t="str">
        <x:v>PASS</x:v>
      </x:c>
      <x:c r="X11" s="942" t="str">
        <x:v>/Users/blacktraker/Programming/gitproj/DV4/SuperNPUBench/outputs/matmul_reuseA_refresh_20261010/sweep/build/BF16_M256_N7168_K512_tM128_tN64_tK256/kernel/matmul/elf/kernel_matmul_matmul_reuseA_B1_M256_N7168_K512_tM128_tN64_tK256_DType__bf16.elf</x:v>
      </x:c>
      <x:c r="Y11" s="942" t="str">
        <x:v>/Users/blacktraker/Programming/gitproj/DV4/SuperNPUBench/outputs/matmul_reuseA_refresh_20261010/sweep/logs/BF16_M256_N7168_K512_tM128_tN64_tK256.gfsim.log</x:v>
      </x:c>
      <x:c r="Z11" s="942" t="str">
        <x:v>PASS；reuseA；ELF=/Users/blacktraker/Programming/gitproj/DV4/SuperNPUBench/outputs/matmul_reuseA_refresh_20261010/sweep/build/BF16_M256_N7168_K512_tM128_tN64_tK256/kernel/matmul/elf/kernel_matmul_matmul_reuseA_B1_M256_N7168_K512_tM128_tN64_tK256_DType__bf16.elf；gfsim log=/Users/blacktraker/Programming/gitproj/DV4/SuperNPUBench/outputs/matmul_reuseA_refresh_20261010/sweep/logs/BF16_M256_N7168_K512_tM128_tN64_tK256.gfsim.log</x:v>
      </x:c>
      <x:c r="AA11" s="942"/>
      <x:c r="AB11" s="942" t="str">
        <x:v>matmul_reuseA; tM=128; tN=64; tK=256</x:v>
      </x:c>
      <x:c r="AC11" s="674" t="str">
        <x:v>否</x:v>
      </x:c>
    </x:row>
    <x:row r="12" ht="31.5" customHeight="1">
      <x:c r="A12" s="975" t="str">
        <x:v>matmul (ubm)</x:v>
      </x:c>
      <x:c r="B12" s="975" t="str">
        <x:v>BF16</x:v>
      </x:c>
      <x:c r="C12" s="982" t="n">
        <x:v>256</x:v>
      </x:c>
      <x:c r="D12" s="982" t="n">
        <x:v>7168</x:v>
      </x:c>
      <x:c r="E12" s="982" t="n">
        <x:v>512</x:v>
      </x:c>
      <x:c r="F12" s="975" t="str">
        <x:v>[256,7168,512]</x:v>
      </x:c>
      <x:c r="G12" s="975" t="str">
        <x:v>B-major</x:v>
      </x:c>
      <x:c r="H12" s="975" t="str">
        <x:v>matmul_reuseA</x:v>
      </x:c>
      <x:c r="I12" s="982" t="n">
        <x:v>128</x:v>
      </x:c>
      <x:c r="J12" s="982" t="n">
        <x:v>64</x:v>
      </x:c>
      <x:c r="K12" s="982" t="n">
        <x:v>512</x:v>
      </x:c>
      <x:c r="L12" s="994" t="n">
        <x:v>32</x:v>
      </x:c>
      <x:c r="M12" s="994" t="n">
        <x:v>64</x:v>
      </x:c>
      <x:c r="N12" s="994" t="n">
        <x:v>64</x:v>
      </x:c>
      <x:c r="O12" s="982" t="n">
        <x:v>249776</x:v>
      </x:c>
      <x:c r="P12" s="995" t="n">
        <x:v>156.11</x:v>
      </x:c>
      <x:c r="Q12" s="982" t="n">
        <x:v>4096</x:v>
      </x:c>
      <x:c r="R12" s="982" t="n">
        <x:v>229376</x:v>
      </x:c>
      <x:c r="S12" s="996" t="n">
        <x:v>0.918326820831465</x:v>
      </x:c>
      <x:c r="T12" s="994" t="n">
        <x:v>64</x:v>
      </x:c>
      <x:c r="U12" s="994" t="n">
        <x:v>32</x:v>
      </x:c>
      <x:c r="V12" s="996" t="n">
        <x:v>1</x:v>
      </x:c>
      <x:c r="W12" s="674" t="str">
        <x:v>PASS</x:v>
      </x:c>
      <x:c r="X12" s="942" t="str">
        <x:v>/Users/blacktraker/Programming/gitproj/DV4/SuperNPUBench/outputs/matmul_reuseA_refresh_20261010/sweep/build/BF16_M256_N7168_K512_tM128_tN64_tK512/kernel/matmul/elf/kernel_matmul_matmul_reuseA_B1_M256_N7168_K512_tM128_tN64_tK512_DType__bf16.elf</x:v>
      </x:c>
      <x:c r="Y12" s="942" t="str">
        <x:v>/Users/blacktraker/Programming/gitproj/DV4/SuperNPUBench/outputs/matmul_reuseA_refresh_20261010/sweep/logs/BF16_M256_N7168_K512_tM128_tN64_tK512.gfsim.log</x:v>
      </x:c>
      <x:c r="Z12" s="942" t="str">
        <x:v>PASS；reuseA；ELF=/Users/blacktraker/Programming/gitproj/DV4/SuperNPUBench/outputs/matmul_reuseA_refresh_20261010/sweep/build/BF16_M256_N7168_K512_tM128_tN64_tK512/kernel/matmul/elf/kernel_matmul_matmul_reuseA_B1_M256_N7168_K512_tM128_tN64_tK512_DType__bf16.elf；gfsim log=/Users/blacktraker/Programming/gitproj/DV4/SuperNPUBench/outputs/matmul_reuseA_refresh_20261010/sweep/logs/BF16_M256_N7168_K512_tM128_tN64_tK512.gfsim.log</x:v>
      </x:c>
      <x:c r="AA12" s="942"/>
      <x:c r="AB12" s="942" t="str">
        <x:v>matmul_reuseA; tM=128; tN=64; tK=512</x:v>
      </x:c>
      <x:c r="AC12" s="674" t="str">
        <x:v>否</x:v>
      </x:c>
    </x:row>
    <x:row r="13" ht="31.5" customHeight="1">
      <x:c r="A13" s="975" t="str">
        <x:v>matmul (ubm)</x:v>
      </x:c>
      <x:c r="B13" s="975" t="str">
        <x:v>BF16</x:v>
      </x:c>
      <x:c r="C13" s="982" t="n">
        <x:v>256</x:v>
      </x:c>
      <x:c r="D13" s="982" t="n">
        <x:v>7168</x:v>
      </x:c>
      <x:c r="E13" s="982" t="n">
        <x:v>512</x:v>
      </x:c>
      <x:c r="F13" s="975" t="str">
        <x:v>[256,7168,512]</x:v>
      </x:c>
      <x:c r="G13" s="975" t="str">
        <x:v>B-major</x:v>
      </x:c>
      <x:c r="H13" s="975" t="str">
        <x:v>matmul_reuseA</x:v>
      </x:c>
      <x:c r="I13" s="982" t="n">
        <x:v>128</x:v>
      </x:c>
      <x:c r="J13" s="982" t="n">
        <x:v>128</x:v>
      </x:c>
      <x:c r="K13" s="982" t="n">
        <x:v>64</x:v>
      </x:c>
      <x:c r="L13" s="994" t="n">
        <x:v>4</x:v>
      </x:c>
      <x:c r="M13" s="994" t="n">
        <x:v>16</x:v>
      </x:c>
      <x:c r="N13" s="994" t="n">
        <x:v>16</x:v>
      </x:c>
      <x:c r="O13" s="982" t="n">
        <x:v>255253</x:v>
      </x:c>
      <x:c r="P13" s="995" t="n">
        <x:v>159.533125</x:v>
      </x:c>
      <x:c r="Q13" s="982" t="n">
        <x:v>4096</x:v>
      </x:c>
      <x:c r="R13" s="982" t="n">
        <x:v>229376</x:v>
      </x:c>
      <x:c r="S13" s="996" t="n">
        <x:v>0.8986221513557138</x:v>
      </x:c>
      <x:c r="T13" s="994" t="n">
        <x:v>64</x:v>
      </x:c>
      <x:c r="U13" s="994" t="n">
        <x:v>256</x:v>
      </x:c>
      <x:c r="V13" s="996" t="n">
        <x:v>1</x:v>
      </x:c>
      <x:c r="W13" s="674" t="str">
        <x:v>PASS</x:v>
      </x:c>
      <x:c r="X13" s="942" t="str">
        <x:v>/Users/blacktraker/Programming/gitproj/DV4/SuperNPUBench/outputs/matmul_reuseA_refresh_20261010/sweep/build/BF16_M256_N7168_K512_tM128_tN128_tK64/kernel/matmul/elf/kernel_matmul_matmul_reuseA_B1_M256_N7168_K512_tM128_tN128_tK64_DType__bf16.elf</x:v>
      </x:c>
      <x:c r="Y13" s="942" t="str">
        <x:v>/Users/blacktraker/Programming/gitproj/DV4/SuperNPUBench/outputs/matmul_reuseA_refresh_20261010/sweep/logs/BF16_M256_N7168_K512_tM128_tN128_tK64.gfsim.log</x:v>
      </x:c>
      <x:c r="Z13" s="942" t="str">
        <x:v>PASS；reuseA；ELF=/Users/blacktraker/Programming/gitproj/DV4/SuperNPUBench/outputs/matmul_reuseA_refresh_20261010/sweep/build/BF16_M256_N7168_K512_tM128_tN128_tK64/kernel/matmul/elf/kernel_matmul_matmul_reuseA_B1_M256_N7168_K512_tM128_tN128_tK64_DType__bf16.elf；gfsim log=/Users/blacktraker/Programming/gitproj/DV4/SuperNPUBench/outputs/matmul_reuseA_refresh_20261010/sweep/logs/BF16_M256_N7168_K512_tM128_tN128_tK64.gfsim.log</x:v>
      </x:c>
      <x:c r="AA13" s="942"/>
      <x:c r="AB13" s="942" t="str">
        <x:v>matmul_reuseA; tM=128; tN=128; tK=64</x:v>
      </x:c>
      <x:c r="AC13" s="674" t="str">
        <x:v>否</x:v>
      </x:c>
    </x:row>
    <x:row r="14" ht="31.5" customHeight="1">
      <x:c r="A14" s="975" t="str">
        <x:v>matmul (ubm)</x:v>
      </x:c>
      <x:c r="B14" s="975" t="str">
        <x:v>BF16</x:v>
      </x:c>
      <x:c r="C14" s="982" t="n">
        <x:v>256</x:v>
      </x:c>
      <x:c r="D14" s="982" t="n">
        <x:v>7168</x:v>
      </x:c>
      <x:c r="E14" s="982" t="n">
        <x:v>512</x:v>
      </x:c>
      <x:c r="F14" s="975" t="str">
        <x:v>[256,7168,512]</x:v>
      </x:c>
      <x:c r="G14" s="975" t="str">
        <x:v>B-major</x:v>
      </x:c>
      <x:c r="H14" s="975" t="str">
        <x:v>matmul_reuseA</x:v>
      </x:c>
      <x:c r="I14" s="982" t="n">
        <x:v>128</x:v>
      </x:c>
      <x:c r="J14" s="982" t="n">
        <x:v>128</x:v>
      </x:c>
      <x:c r="K14" s="982" t="n">
        <x:v>128</x:v>
      </x:c>
      <x:c r="L14" s="994" t="n">
        <x:v>8</x:v>
      </x:c>
      <x:c r="M14" s="994" t="n">
        <x:v>32</x:v>
      </x:c>
      <x:c r="N14" s="994" t="n">
        <x:v>32</x:v>
      </x:c>
      <x:c r="O14" s="982" t="n">
        <x:v>233200</x:v>
      </x:c>
      <x:c r="P14" s="995" t="n">
        <x:v>145.75</x:v>
      </x:c>
      <x:c r="Q14" s="982" t="n">
        <x:v>4096</x:v>
      </x:c>
      <x:c r="R14" s="982" t="n">
        <x:v>229376</x:v>
      </x:c>
      <x:c r="S14" s="996" t="n">
        <x:v>0.9836020583190395</x:v>
      </x:c>
      <x:c r="T14" s="994" t="n">
        <x:v>64</x:v>
      </x:c>
      <x:c r="U14" s="994" t="n">
        <x:v>128</x:v>
      </x:c>
      <x:c r="V14" s="996" t="n">
        <x:v>1</x:v>
      </x:c>
      <x:c r="W14" s="674" t="str">
        <x:v>PASS</x:v>
      </x:c>
      <x:c r="X14" s="942" t="str">
        <x:v>/Users/blacktraker/Programming/gitproj/DV4/SuperNPUBench/outputs/matmul_reuseA_refresh_20261010/sweep/build/BF16_M256_N7168_K512_tM128_tN128_tK128/kernel/matmul/elf/kernel_matmul_matmul_reuseA_B1_M256_N7168_K512_tM128_tN128_tK128_DType__bf16.elf</x:v>
      </x:c>
      <x:c r="Y14" s="942" t="str">
        <x:v>/Users/blacktraker/Programming/gitproj/DV4/SuperNPUBench/outputs/matmul_reuseA_refresh_20261010/sweep/logs/BF16_M256_N7168_K512_tM128_tN128_tK128.gfsim.log</x:v>
      </x:c>
      <x:c r="Z14" s="942" t="str">
        <x:v>PASS；reuseA；ELF=/Users/blacktraker/Programming/gitproj/DV4/SuperNPUBench/outputs/matmul_reuseA_refresh_20261010/sweep/build/BF16_M256_N7168_K512_tM128_tN128_tK128/kernel/matmul/elf/kernel_matmul_matmul_reuseA_B1_M256_N7168_K512_tM128_tN128_tK128_DType__bf16.elf；gfsim log=/Users/blacktraker/Programming/gitproj/DV4/SuperNPUBench/outputs/matmul_reuseA_refresh_20261010/sweep/logs/BF16_M256_N7168_K512_tM128_tN128_tK128.gfsim.log</x:v>
      </x:c>
      <x:c r="AA14" s="942"/>
      <x:c r="AB14" s="942" t="str">
        <x:v>matmul_reuseA; tM=128; tN=128; tK=128</x:v>
      </x:c>
      <x:c r="AC14" s="674" t="str">
        <x:v>否</x:v>
      </x:c>
    </x:row>
    <x:row r="15" ht="31.5" customHeight="1">
      <x:c r="A15" s="975" t="str">
        <x:v>matmul (ubm)</x:v>
      </x:c>
      <x:c r="B15" s="975" t="str">
        <x:v>BF16</x:v>
      </x:c>
      <x:c r="C15" s="982" t="n">
        <x:v>256</x:v>
      </x:c>
      <x:c r="D15" s="982" t="n">
        <x:v>7168</x:v>
      </x:c>
      <x:c r="E15" s="982" t="n">
        <x:v>512</x:v>
      </x:c>
      <x:c r="F15" s="975" t="str">
        <x:v>[256,7168,512]</x:v>
      </x:c>
      <x:c r="G15" s="975" t="str">
        <x:v>B-major</x:v>
      </x:c>
      <x:c r="H15" s="975" t="str">
        <x:v>matmul_reuseA</x:v>
      </x:c>
      <x:c r="I15" s="997" t="n">
        <x:v>128</x:v>
      </x:c>
      <x:c r="J15" s="997" t="n">
        <x:v>128</x:v>
      </x:c>
      <x:c r="K15" s="997" t="n">
        <x:v>256</x:v>
      </x:c>
      <x:c r="L15" s="994" t="n">
        <x:v>16</x:v>
      </x:c>
      <x:c r="M15" s="994" t="n">
        <x:v>64</x:v>
      </x:c>
      <x:c r="N15" s="994" t="n">
        <x:v>64</x:v>
      </x:c>
      <x:c r="O15" s="998" t="n">
        <x:v>233006</x:v>
      </x:c>
      <x:c r="P15" s="999" t="n">
        <x:v>145.62875</x:v>
      </x:c>
      <x:c r="Q15" s="998" t="n">
        <x:v>4096</x:v>
      </x:c>
      <x:c r="R15" s="998" t="n">
        <x:v>229376</x:v>
      </x:c>
      <x:c r="S15" s="1000" t="n">
        <x:v>0.9844210020342824</x:v>
      </x:c>
      <x:c r="T15" s="994" t="n">
        <x:v>64</x:v>
      </x:c>
      <x:c r="U15" s="994" t="n">
        <x:v>64</x:v>
      </x:c>
      <x:c r="V15" s="996" t="n">
        <x:v>1</x:v>
      </x:c>
      <x:c r="W15" s="674" t="str">
        <x:v>PASS</x:v>
      </x:c>
      <x:c r="X15" s="942" t="str">
        <x:v>/Users/blacktraker/Programming/gitproj/DV4/SuperNPUBench/outputs/matmul_reuseA_refresh_20261010/sweep/build/BF16_M256_N7168_K512_tM128_tN128_tK256/kernel/matmul/elf/kernel_matmul_matmul_reuseA_B1_M256_N7168_K512_tM128_tN128_tK256_DType__bf16.elf</x:v>
      </x:c>
      <x:c r="Y15" s="942" t="str">
        <x:v>/Users/blacktraker/Programming/gitproj/DV4/SuperNPUBench/outputs/matmul_reuseA_refresh_20261010/sweep/logs/BF16_M256_N7168_K512_tM128_tN128_tK256.gfsim.log</x:v>
      </x:c>
      <x:c r="Z15" s="942" t="str">
        <x:v>PASS；reuseA；ELF=/Users/blacktraker/Programming/gitproj/DV4/SuperNPUBench/outputs/matmul_reuseA_refresh_20261010/sweep/build/BF16_M256_N7168_K512_tM128_tN128_tK256/kernel/matmul/elf/kernel_matmul_matmul_reuseA_B1_M256_N7168_K512_tM128_tN128_tK256_DType__bf16.elf；gfsim log=/Users/blacktraker/Programming/gitproj/DV4/SuperNPUBench/outputs/matmul_reuseA_refresh_20261010/sweep/logs/BF16_M256_N7168_K512_tM128_tN128_tK256.gfsim.log</x:v>
      </x:c>
      <x:c r="AA15" s="942"/>
      <x:c r="AB15" s="942" t="str">
        <x:v>matmul_reuseA; tM=128; tN=128; tK=256</x:v>
      </x:c>
      <x:c r="AC15" s="964" t="str">
        <x:v>是</x:v>
      </x:c>
    </x:row>
    <x:row r="16" ht="31.5" customHeight="1">
      <x:c r="A16" s="975" t="str">
        <x:v>matmul (ubm)</x:v>
      </x:c>
      <x:c r="B16" s="975" t="str">
        <x:v>BF16</x:v>
      </x:c>
      <x:c r="C16" s="982" t="n">
        <x:v>256</x:v>
      </x:c>
      <x:c r="D16" s="982" t="n">
        <x:v>7168</x:v>
      </x:c>
      <x:c r="E16" s="982" t="n">
        <x:v>512</x:v>
      </x:c>
      <x:c r="F16" s="975" t="str">
        <x:v>[256,7168,512]</x:v>
      </x:c>
      <x:c r="G16" s="975" t="str">
        <x:v>B-major</x:v>
      </x:c>
      <x:c r="H16" s="975" t="str">
        <x:v>matmul_reuseA</x:v>
      </x:c>
      <x:c r="I16" s="982" t="n">
        <x:v>128</x:v>
      </x:c>
      <x:c r="J16" s="982" t="n">
        <x:v>128</x:v>
      </x:c>
      <x:c r="K16" s="982" t="n">
        <x:v>512</x:v>
      </x:c>
      <x:c r="L16" s="994" t="n">
        <x:v>32</x:v>
      </x:c>
      <x:c r="M16" s="994" t="n">
        <x:v>128</x:v>
      </x:c>
      <x:c r="N16" s="994" t="n">
        <x:v>128</x:v>
      </x:c>
      <x:c r="O16" s="982" t="n">
        <x:v>260730</x:v>
      </x:c>
      <x:c r="P16" s="995" t="n">
        <x:v>162.95625</x:v>
      </x:c>
      <x:c r="Q16" s="982" t="n">
        <x:v>4096</x:v>
      </x:c>
      <x:c r="R16" s="982" t="n">
        <x:v>229376</x:v>
      </x:c>
      <x:c r="S16" s="996" t="n">
        <x:v>0.8797453304184405</x:v>
      </x:c>
      <x:c r="T16" s="994" t="n">
        <x:v>64</x:v>
      </x:c>
      <x:c r="U16" s="994" t="n">
        <x:v>32</x:v>
      </x:c>
      <x:c r="V16" s="996" t="n">
        <x:v>1</x:v>
      </x:c>
      <x:c r="W16" s="674" t="str">
        <x:v>PASS</x:v>
      </x:c>
      <x:c r="X16" s="942" t="str">
        <x:v>/Users/blacktraker/Programming/gitproj/DV4/SuperNPUBench/outputs/matmul_reuseA_refresh_20261010/sweep/build/BF16_M256_N7168_K512_tM128_tN128_tK512/kernel/matmul/elf/kernel_matmul_matmul_reuseA_B1_M256_N7168_K512_tM128_tN128_tK512_DType__bf16.elf</x:v>
      </x:c>
      <x:c r="Y16" s="942" t="str">
        <x:v>/Users/blacktraker/Programming/gitproj/DV4/SuperNPUBench/outputs/matmul_reuseA_refresh_20261010/sweep/logs/BF16_M256_N7168_K512_tM128_tN128_tK512.gfsim.log</x:v>
      </x:c>
      <x:c r="Z16" s="942" t="str">
        <x:v>PASS；reuseA；ELF=/Users/blacktraker/Programming/gitproj/DV4/SuperNPUBench/outputs/matmul_reuseA_refresh_20261010/sweep/build/BF16_M256_N7168_K512_tM128_tN128_tK512/kernel/matmul/elf/kernel_matmul_matmul_reuseA_B1_M256_N7168_K512_tM128_tN128_tK512_DType__bf16.elf；gfsim log=/Users/blacktraker/Programming/gitproj/DV4/SuperNPUBench/outputs/matmul_reuseA_refresh_20261010/sweep/logs/BF16_M256_N7168_K512_tM128_tN128_tK512.gfsim.log</x:v>
      </x:c>
      <x:c r="AA16" s="942"/>
      <x:c r="AB16" s="942" t="str">
        <x:v>matmul_reuseA; tM=128; tN=128; tK=512</x:v>
      </x:c>
      <x:c r="AC16" s="674" t="str">
        <x:v>否</x:v>
      </x:c>
    </x:row>
    <x:row r="17" ht="31.5" customHeight="1">
      <x:c r="A17" s="975" t="str">
        <x:v>matmul (ubm)</x:v>
      </x:c>
      <x:c r="B17" s="975" t="str">
        <x:v>BF16</x:v>
      </x:c>
      <x:c r="C17" s="982" t="n">
        <x:v>256</x:v>
      </x:c>
      <x:c r="D17" s="982" t="n">
        <x:v>7168</x:v>
      </x:c>
      <x:c r="E17" s="982" t="n">
        <x:v>512</x:v>
      </x:c>
      <x:c r="F17" s="975" t="str">
        <x:v>[256,7168,512]</x:v>
      </x:c>
      <x:c r="G17" s="975" t="str">
        <x:v>B-major</x:v>
      </x:c>
      <x:c r="H17" s="975" t="str">
        <x:v>matmul_reuseA</x:v>
      </x:c>
      <x:c r="I17" s="982" t="n">
        <x:v>128</x:v>
      </x:c>
      <x:c r="J17" s="982" t="n">
        <x:v>256</x:v>
      </x:c>
      <x:c r="K17" s="982" t="n">
        <x:v>64</x:v>
      </x:c>
      <x:c r="L17" s="994" t="n">
        <x:v>4</x:v>
      </x:c>
      <x:c r="M17" s="994" t="n">
        <x:v>32</x:v>
      </x:c>
      <x:c r="N17" s="994" t="n">
        <x:v>32</x:v>
      </x:c>
      <x:c r="O17" s="982" t="n">
        <x:v>261803</x:v>
      </x:c>
      <x:c r="P17" s="995" t="n">
        <x:v>163.626875</x:v>
      </x:c>
      <x:c r="Q17" s="982" t="n">
        <x:v>4096</x:v>
      </x:c>
      <x:c r="R17" s="982" t="n">
        <x:v>229376</x:v>
      </x:c>
      <x:c r="S17" s="996" t="n">
        <x:v>0.8761396928224657</x:v>
      </x:c>
      <x:c r="T17" s="994" t="n">
        <x:v>64</x:v>
      </x:c>
      <x:c r="U17" s="994" t="n">
        <x:v>256</x:v>
      </x:c>
      <x:c r="V17" s="996" t="n">
        <x:v>1</x:v>
      </x:c>
      <x:c r="W17" s="674" t="str">
        <x:v>PASS</x:v>
      </x:c>
      <x:c r="X17" s="942" t="str">
        <x:v>/Users/blacktraker/Programming/gitproj/DV4/SuperNPUBench/outputs/matmul_reuseA_refresh_20261010/sweep/build/BF16_M256_N7168_K512_tM128_tN256_tK64/kernel/matmul/elf/kernel_matmul_matmul_reuseA_B1_M256_N7168_K512_tM128_tN256_tK64_DType__bf16.elf</x:v>
      </x:c>
      <x:c r="Y17" s="942" t="str">
        <x:v>/Users/blacktraker/Programming/gitproj/DV4/SuperNPUBench/outputs/matmul_reuseA_refresh_20261010/sweep/logs/BF16_M256_N7168_K512_tM128_tN256_tK64.gfsim.log</x:v>
      </x:c>
      <x:c r="Z17" s="942" t="str">
        <x:v>PASS；reuseA；ELF=/Users/blacktraker/Programming/gitproj/DV4/SuperNPUBench/outputs/matmul_reuseA_refresh_20261010/sweep/build/BF16_M256_N7168_K512_tM128_tN256_tK64/kernel/matmul/elf/kernel_matmul_matmul_reuseA_B1_M256_N7168_K512_tM128_tN256_tK64_DType__bf16.elf；gfsim log=/Users/blacktraker/Programming/gitproj/DV4/SuperNPUBench/outputs/matmul_reuseA_refresh_20261010/sweep/logs/BF16_M256_N7168_K512_tM128_tN256_tK64.gfsim.log</x:v>
      </x:c>
      <x:c r="AA17" s="942"/>
      <x:c r="AB17" s="942" t="str">
        <x:v>matmul_reuseA; tM=128; tN=256; tK=64</x:v>
      </x:c>
      <x:c r="AC17" s="674" t="str">
        <x:v>否</x:v>
      </x:c>
    </x:row>
    <x:row r="18" ht="31.5" customHeight="1">
      <x:c r="A18" s="975" t="str">
        <x:v>matmul (ubm)</x:v>
      </x:c>
      <x:c r="B18" s="975" t="str">
        <x:v>BF16</x:v>
      </x:c>
      <x:c r="C18" s="982" t="n">
        <x:v>256</x:v>
      </x:c>
      <x:c r="D18" s="982" t="n">
        <x:v>7168</x:v>
      </x:c>
      <x:c r="E18" s="982" t="n">
        <x:v>512</x:v>
      </x:c>
      <x:c r="F18" s="975" t="str">
        <x:v>[256,7168,512]</x:v>
      </x:c>
      <x:c r="G18" s="975" t="str">
        <x:v>B-major</x:v>
      </x:c>
      <x:c r="H18" s="975" t="str">
        <x:v>matmul_reuseA</x:v>
      </x:c>
      <x:c r="I18" s="982" t="n">
        <x:v>128</x:v>
      </x:c>
      <x:c r="J18" s="982" t="n">
        <x:v>256</x:v>
      </x:c>
      <x:c r="K18" s="982" t="n">
        <x:v>128</x:v>
      </x:c>
      <x:c r="L18" s="994" t="n">
        <x:v>8</x:v>
      </x:c>
      <x:c r="M18" s="994" t="n">
        <x:v>64</x:v>
      </x:c>
      <x:c r="N18" s="994" t="n">
        <x:v>64</x:v>
      </x:c>
      <x:c r="O18" s="982" t="n">
        <x:v>240393</x:v>
      </x:c>
      <x:c r="P18" s="995" t="n">
        <x:v>150.245625</x:v>
      </x:c>
      <x:c r="Q18" s="982" t="n">
        <x:v>4096</x:v>
      </x:c>
      <x:c r="R18" s="982" t="n">
        <x:v>229376</x:v>
      </x:c>
      <x:c r="S18" s="996" t="n">
        <x:v>0.9541708785197572</x:v>
      </x:c>
      <x:c r="T18" s="994" t="n">
        <x:v>64</x:v>
      </x:c>
      <x:c r="U18" s="994" t="n">
        <x:v>128</x:v>
      </x:c>
      <x:c r="V18" s="996" t="n">
        <x:v>1</x:v>
      </x:c>
      <x:c r="W18" s="674" t="str">
        <x:v>PASS</x:v>
      </x:c>
      <x:c r="X18" s="942" t="str">
        <x:v>/Users/blacktraker/Programming/gitproj/DV4/SuperNPUBench/outputs/matmul_reuseA_refresh_20261010/sweep/build/BF16_M256_N7168_K512_tM128_tN256_tK128/kernel/matmul/elf/kernel_matmul_matmul_reuseA_B1_M256_N7168_K512_tM128_tN256_tK128_DType__bf16.elf</x:v>
      </x:c>
      <x:c r="Y18" s="942" t="str">
        <x:v>/Users/blacktraker/Programming/gitproj/DV4/SuperNPUBench/outputs/matmul_reuseA_refresh_20261010/sweep/logs/BF16_M256_N7168_K512_tM128_tN256_tK128.gfsim.log</x:v>
      </x:c>
      <x:c r="Z18" s="942" t="str">
        <x:v>PASS；reuseA；ELF=/Users/blacktraker/Programming/gitproj/DV4/SuperNPUBench/outputs/matmul_reuseA_refresh_20261010/sweep/build/BF16_M256_N7168_K512_tM128_tN256_tK128/kernel/matmul/elf/kernel_matmul_matmul_reuseA_B1_M256_N7168_K512_tM128_tN256_tK128_DType__bf16.elf；gfsim log=/Users/blacktraker/Programming/gitproj/DV4/SuperNPUBench/outputs/matmul_reuseA_refresh_20261010/sweep/logs/BF16_M256_N7168_K512_tM128_tN256_tK128.gfsim.log</x:v>
      </x:c>
      <x:c r="AA18" s="942"/>
      <x:c r="AB18" s="942" t="str">
        <x:v>matmul_reuseA; tM=128; tN=256; tK=128</x:v>
      </x:c>
      <x:c r="AC18" s="674" t="str">
        <x:v>否</x:v>
      </x:c>
    </x:row>
    <x:row r="19" ht="31.5" customHeight="1">
      <x:c r="A19" s="975" t="str">
        <x:v>matmul (ubm)</x:v>
      </x:c>
      <x:c r="B19" s="975" t="str">
        <x:v>BF16</x:v>
      </x:c>
      <x:c r="C19" s="982" t="n">
        <x:v>256</x:v>
      </x:c>
      <x:c r="D19" s="982" t="n">
        <x:v>7168</x:v>
      </x:c>
      <x:c r="E19" s="982" t="n">
        <x:v>512</x:v>
      </x:c>
      <x:c r="F19" s="975" t="str">
        <x:v>[256,7168,512]</x:v>
      </x:c>
      <x:c r="G19" s="975" t="str">
        <x:v>B-major</x:v>
      </x:c>
      <x:c r="H19" s="975" t="str">
        <x:v>matmul_reuseA</x:v>
      </x:c>
      <x:c r="I19" s="982" t="n">
        <x:v>128</x:v>
      </x:c>
      <x:c r="J19" s="982" t="n">
        <x:v>256</x:v>
      </x:c>
      <x:c r="K19" s="982" t="n">
        <x:v>256</x:v>
      </x:c>
      <x:c r="L19" s="994" t="n">
        <x:v>16</x:v>
      </x:c>
      <x:c r="M19" s="994" t="n">
        <x:v>128</x:v>
      </x:c>
      <x:c r="N19" s="994" t="n">
        <x:v>128</x:v>
      </x:c>
      <x:c r="O19" s="982" t="n">
        <x:v>249230</x:v>
      </x:c>
      <x:c r="P19" s="995" t="n">
        <x:v>155.76875</x:v>
      </x:c>
      <x:c r="Q19" s="982" t="n">
        <x:v>4096</x:v>
      </x:c>
      <x:c r="R19" s="982" t="n">
        <x:v>229376</x:v>
      </x:c>
      <x:c r="S19" s="996" t="n">
        <x:v>0.9203386430205032</x:v>
      </x:c>
      <x:c r="T19" s="994" t="n">
        <x:v>64</x:v>
      </x:c>
      <x:c r="U19" s="994" t="n">
        <x:v>64</x:v>
      </x:c>
      <x:c r="V19" s="996" t="n">
        <x:v>1</x:v>
      </x:c>
      <x:c r="W19" s="674" t="str">
        <x:v>PASS</x:v>
      </x:c>
      <x:c r="X19" s="942" t="str">
        <x:v>/Users/blacktraker/Programming/gitproj/DV4/SuperNPUBench/outputs/matmul_reuseA_refresh_20261010/sweep/build/BF16_M256_N7168_K512_tM128_tN256_tK256/kernel/matmul/elf/kernel_matmul_matmul_reuseA_B1_M256_N7168_K512_tM128_tN256_tK256_DType__bf16.elf</x:v>
      </x:c>
      <x:c r="Y19" s="942" t="str">
        <x:v>/Users/blacktraker/Programming/gitproj/DV4/SuperNPUBench/outputs/matmul_reuseA_refresh_20261010/sweep/logs/BF16_M256_N7168_K512_tM128_tN256_tK256.gfsim.log</x:v>
      </x:c>
      <x:c r="Z19" s="942" t="str">
        <x:v>PASS；reuseA；ELF=/Users/blacktraker/Programming/gitproj/DV4/SuperNPUBench/outputs/matmul_reuseA_refresh_20261010/sweep/build/BF16_M256_N7168_K512_tM128_tN256_tK256/kernel/matmul/elf/kernel_matmul_matmul_reuseA_B1_M256_N7168_K512_tM128_tN256_tK256_DType__bf16.elf；gfsim log=/Users/blacktraker/Programming/gitproj/DV4/SuperNPUBench/outputs/matmul_reuseA_refresh_20261010/sweep/logs/BF16_M256_N7168_K512_tM128_tN256_tK256.gfsim.log</x:v>
      </x:c>
      <x:c r="AA19" s="942"/>
      <x:c r="AB19" s="942" t="str">
        <x:v>matmul_reuseA; tM=128; tN=256; tK=256</x:v>
      </x:c>
      <x:c r="AC19" s="674" t="str">
        <x:v>否</x:v>
      </x:c>
    </x:row>
    <x:row r="20" ht="31.5" customHeight="1">
      <x:c r="A20" s="975" t="str">
        <x:v>matmul (ubm)</x:v>
      </x:c>
      <x:c r="B20" s="975" t="str">
        <x:v>BF16</x:v>
      </x:c>
      <x:c r="C20" s="982" t="n">
        <x:v>256</x:v>
      </x:c>
      <x:c r="D20" s="982" t="n">
        <x:v>7168</x:v>
      </x:c>
      <x:c r="E20" s="982" t="n">
        <x:v>512</x:v>
      </x:c>
      <x:c r="F20" s="975" t="str">
        <x:v>[256,7168,512]</x:v>
      </x:c>
      <x:c r="G20" s="975" t="str">
        <x:v>B-major</x:v>
      </x:c>
      <x:c r="H20" s="975" t="str">
        <x:v>matmul_reuseA</x:v>
      </x:c>
      <x:c r="I20" s="982" t="n">
        <x:v>128</x:v>
      </x:c>
      <x:c r="J20" s="982" t="n">
        <x:v>256</x:v>
      </x:c>
      <x:c r="K20" s="982" t="n">
        <x:v>512</x:v>
      </x:c>
      <x:c r="L20" s="994" t="n">
        <x:v>32</x:v>
      </x:c>
      <x:c r="M20" s="994" t="n">
        <x:v>256</x:v>
      </x:c>
      <x:c r="N20" s="994" t="n">
        <x:v>256</x:v>
      </x:c>
      <x:c r="O20" s="982" t="n">
        <x:v>416689</x:v>
      </x:c>
      <x:c r="P20" s="995" t="n">
        <x:v>260.430625</x:v>
      </x:c>
      <x:c r="Q20" s="982" t="n">
        <x:v>4096</x:v>
      </x:c>
      <x:c r="R20" s="982" t="n">
        <x:v>229376</x:v>
      </x:c>
      <x:c r="S20" s="996" t="n">
        <x:v>0.5504728946528467</x:v>
      </x:c>
      <x:c r="T20" s="994" t="n">
        <x:v>64</x:v>
      </x:c>
      <x:c r="U20" s="994" t="n">
        <x:v>32</x:v>
      </x:c>
      <x:c r="V20" s="996" t="n">
        <x:v>1</x:v>
      </x:c>
      <x:c r="W20" s="674" t="str">
        <x:v>PASS</x:v>
      </x:c>
      <x:c r="X20" s="942" t="str">
        <x:v>/Users/blacktraker/Programming/gitproj/DV4/SuperNPUBench/outputs/matmul_reuseA_refresh_20261010/sweep/build/BF16_M256_N7168_K512_tM128_tN256_tK512/kernel/matmul/elf/kernel_matmul_matmul_reuseA_B1_M256_N7168_K512_tM128_tN256_tK512_DType__bf16.elf</x:v>
      </x:c>
      <x:c r="Y20" s="942" t="str">
        <x:v>/Users/blacktraker/Programming/gitproj/DV4/SuperNPUBench/outputs/matmul_reuseA_refresh_20261010/sweep/logs/BF16_M256_N7168_K512_tM128_tN256_tK512.gfsim.log</x:v>
      </x:c>
      <x:c r="Z20" s="942" t="str">
        <x:v>PASS；reuseA；ELF=/Users/blacktraker/Programming/gitproj/DV4/SuperNPUBench/outputs/matmul_reuseA_refresh_20261010/sweep/build/BF16_M256_N7168_K512_tM128_tN256_tK512/kernel/matmul/elf/kernel_matmul_matmul_reuseA_B1_M256_N7168_K512_tM128_tN256_tK512_DType__bf16.elf；gfsim log=/Users/blacktraker/Programming/gitproj/DV4/SuperNPUBench/outputs/matmul_reuseA_refresh_20261010/sweep/logs/BF16_M256_N7168_K512_tM128_tN256_tK512.gfsim.log</x:v>
      </x:c>
      <x:c r="AA20" s="942"/>
      <x:c r="AB20" s="942" t="str">
        <x:v>matmul_reuseA; tM=128; tN=256; tK=512</x:v>
      </x:c>
      <x:c r="AC20" s="674" t="str">
        <x:v>否</x:v>
      </x:c>
    </x:row>
    <x:row r="21" ht="31.5" customHeight="1">
      <x:c r="A21" s="976" t="str">
        <x:v>matmul (ubm)</x:v>
      </x:c>
      <x:c r="B21" s="976" t="str">
        <x:v>BF16</x:v>
      </x:c>
      <x:c r="C21" s="983" t="n">
        <x:v>256</x:v>
      </x:c>
      <x:c r="D21" s="983" t="n">
        <x:v>32767</x:v>
      </x:c>
      <x:c r="E21" s="983" t="n">
        <x:v>128</x:v>
      </x:c>
      <x:c r="F21" s="976" t="str">
        <x:v>[256,32767,128]</x:v>
      </x:c>
      <x:c r="G21" s="976" t="str">
        <x:v>B-major</x:v>
      </x:c>
      <x:c r="H21" s="976" t="str">
        <x:v>matmul_shared</x:v>
      </x:c>
      <x:c r="I21" s="983" t="n">
        <x:v>128</x:v>
      </x:c>
      <x:c r="J21" s="983" t="n">
        <x:v>64</x:v>
      </x:c>
      <x:c r="K21" s="983" t="n">
        <x:v>64</x:v>
      </x:c>
      <x:c r="L21" s="1001" t="n">
        <x:v>16</x:v>
      </x:c>
      <x:c r="M21" s="1001" t="n">
        <x:v>8</x:v>
      </x:c>
      <x:c r="N21" s="1001" t="n">
        <x:v>24</x:v>
      </x:c>
      <x:c r="O21" s="983" t="n">
        <x:v>712530</x:v>
      </x:c>
      <x:c r="P21" s="1002" t="n">
        <x:v>445.33125</x:v>
      </x:c>
      <x:c r="Q21" s="983" t="n">
        <x:v>4096</x:v>
      </x:c>
      <x:c r="R21" s="983" t="n">
        <x:v>262136</x:v>
      </x:c>
      <x:c r="S21" s="1003" t="n">
        <x:v>0.36789468513606444</x:v>
      </x:c>
      <x:c r="T21" s="1001" t="n">
        <x:v>192</x:v>
      </x:c>
      <x:c r="U21" s="1001" t="n">
        <x:v>256</x:v>
      </x:c>
      <x:c r="V21" s="1003" t="n">
        <x:v>0.6666666666666666</x:v>
      </x:c>
      <x:c r="W21" s="685" t="str">
        <x:v>PASS</x:v>
      </x:c>
      <x:c r="X21" s="940" t="str">
        <x:v>/Users/blacktraker/Programming/gitproj/DV4/SuperNPUBench/outputs/matmul_other4_refresh_20261010/sweep/02_bf16/build/BF16_M256_N32767_K128_tM128_tN64_tK64/kernel/matmul/elf/kernel_matmul_matmul_shared_B1_M256_N32767_K128_tM128_tN64_tK64_DType__bf16.elf</x:v>
      </x:c>
      <x:c r="Y21" s="940" t="str">
        <x:v>/Users/blacktraker/Programming/gitproj/DV4/SuperNPUBench/outputs/matmul_other4_refresh_20261010/sweep/02_bf16/logs/BF16_M256_N32767_K128_tM128_tN64_tK64.gfsim.log</x:v>
      </x:c>
      <x:c r="Z21" s="940" t="str">
        <x:v>PASS；matmul_shared；ELF=/Users/blacktraker/Programming/gitproj/DV4/SuperNPUBench/outputs/matmul_other4_refresh_20261010/sweep/02_bf16/build/BF16_M256_N32767_K128_tM128_tN64_tK64/kernel/matmul/elf/kernel_matmul_matmul_shared_B1_M256_N32767_K128_tM128_tN64_tK64_DType__bf16.elf；gfsim log=/Users/blacktraker/Programming/gitproj/DV4/SuperNPUBench/outputs/matmul_other4_refresh_20261010/sweep/02_bf16/logs/BF16_M256_N32767_K128_tM128_tN64_tK64.gfsim.log</x:v>
      </x:c>
      <x:c r="AA21" s="940"/>
      <x:c r="AB21" s="940" t="str">
        <x:v>matmul_shared; tM=128; tN=64; tK=64</x:v>
      </x:c>
      <x:c r="AC21" s="685" t="str">
        <x:v>否</x:v>
      </x:c>
    </x:row>
    <x:row r="22" ht="31.5" customHeight="1">
      <x:c r="A22" s="976" t="str">
        <x:v>matmul (ubm)</x:v>
      </x:c>
      <x:c r="B22" s="976" t="str">
        <x:v>BF16</x:v>
      </x:c>
      <x:c r="C22" s="983" t="n">
        <x:v>256</x:v>
      </x:c>
      <x:c r="D22" s="983" t="n">
        <x:v>32767</x:v>
      </x:c>
      <x:c r="E22" s="983" t="n">
        <x:v>128</x:v>
      </x:c>
      <x:c r="F22" s="976" t="str">
        <x:v>[256,32767,128]</x:v>
      </x:c>
      <x:c r="G22" s="976" t="str">
        <x:v>B-major</x:v>
      </x:c>
      <x:c r="H22" s="976" t="str">
        <x:v>matmul_shared</x:v>
      </x:c>
      <x:c r="I22" s="983" t="n">
        <x:v>128</x:v>
      </x:c>
      <x:c r="J22" s="983" t="n">
        <x:v>64</x:v>
      </x:c>
      <x:c r="K22" s="983" t="n">
        <x:v>128</x:v>
      </x:c>
      <x:c r="L22" s="1001" t="n">
        <x:v>32</x:v>
      </x:c>
      <x:c r="M22" s="1001" t="n">
        <x:v>16</x:v>
      </x:c>
      <x:c r="N22" s="1001" t="n">
        <x:v>48</x:v>
      </x:c>
      <x:c r="O22" s="983" t="n">
        <x:v>711777</x:v>
      </x:c>
      <x:c r="P22" s="1002" t="n">
        <x:v>444.860625</x:v>
      </x:c>
      <x:c r="Q22" s="983" t="n">
        <x:v>4096</x:v>
      </x:c>
      <x:c r="R22" s="983" t="n">
        <x:v>262136</x:v>
      </x:c>
      <x:c r="S22" s="1003" t="n">
        <x:v>0.36828388666675094</x:v>
      </x:c>
      <x:c r="T22" s="1001" t="n">
        <x:v>192</x:v>
      </x:c>
      <x:c r="U22" s="1001" t="n">
        <x:v>128</x:v>
      </x:c>
      <x:c r="V22" s="1003" t="n">
        <x:v>0.6666666666666666</x:v>
      </x:c>
      <x:c r="W22" s="685" t="str">
        <x:v>PASS</x:v>
      </x:c>
      <x:c r="X22" s="940" t="str">
        <x:v>/Users/blacktraker/Programming/gitproj/DV4/SuperNPUBench/outputs/matmul_other4_refresh_20261010/sweep/02_bf16/build/BF16_M256_N32767_K128_tM128_tN64_tK128/kernel/matmul/elf/kernel_matmul_matmul_shared_B1_M256_N32767_K128_tM128_tN64_tK128_DType__bf16.elf</x:v>
      </x:c>
      <x:c r="Y22" s="940" t="str">
        <x:v>/Users/blacktraker/Programming/gitproj/DV4/SuperNPUBench/outputs/matmul_other4_refresh_20261010/sweep/02_bf16/logs/BF16_M256_N32767_K128_tM128_tN64_tK128.gfsim.log</x:v>
      </x:c>
      <x:c r="Z22" s="940" t="str">
        <x:v>PASS；matmul_shared；ELF=/Users/blacktraker/Programming/gitproj/DV4/SuperNPUBench/outputs/matmul_other4_refresh_20261010/sweep/02_bf16/build/BF16_M256_N32767_K128_tM128_tN64_tK128/kernel/matmul/elf/kernel_matmul_matmul_shared_B1_M256_N32767_K128_tM128_tN64_tK128_DType__bf16.elf；gfsim log=/Users/blacktraker/Programming/gitproj/DV4/SuperNPUBench/outputs/matmul_other4_refresh_20261010/sweep/02_bf16/logs/BF16_M256_N32767_K128_tM128_tN64_tK128.gfsim.log</x:v>
      </x:c>
      <x:c r="AA22" s="940"/>
      <x:c r="AB22" s="940" t="str">
        <x:v>matmul_shared; tM=128; tN=64; tK=128</x:v>
      </x:c>
      <x:c r="AC22" s="685" t="str">
        <x:v>否</x:v>
      </x:c>
    </x:row>
    <x:row r="23" ht="31.5" customHeight="1">
      <x:c r="A23" s="976" t="str">
        <x:v>matmul (ubm)</x:v>
      </x:c>
      <x:c r="B23" s="976" t="str">
        <x:v>BF16</x:v>
      </x:c>
      <x:c r="C23" s="983" t="n">
        <x:v>256</x:v>
      </x:c>
      <x:c r="D23" s="983" t="n">
        <x:v>32767</x:v>
      </x:c>
      <x:c r="E23" s="983" t="n">
        <x:v>128</x:v>
      </x:c>
      <x:c r="F23" s="976" t="str">
        <x:v>[256,32767,128]</x:v>
      </x:c>
      <x:c r="G23" s="976" t="str">
        <x:v>B-major</x:v>
      </x:c>
      <x:c r="H23" s="976" t="str">
        <x:v>matmul_shared</x:v>
      </x:c>
      <x:c r="I23" s="983" t="n">
        <x:v>128</x:v>
      </x:c>
      <x:c r="J23" s="983" t="n">
        <x:v>128</x:v>
      </x:c>
      <x:c r="K23" s="983" t="n">
        <x:v>64</x:v>
      </x:c>
      <x:c r="L23" s="1001" t="n">
        <x:v>16</x:v>
      </x:c>
      <x:c r="M23" s="1001" t="n">
        <x:v>16</x:v>
      </x:c>
      <x:c r="N23" s="1001" t="n">
        <x:v>32</x:v>
      </x:c>
      <x:c r="O23" s="983" t="n">
        <x:v>618109</x:v>
      </x:c>
      <x:c r="P23" s="1002" t="n">
        <x:v>386.318125</x:v>
      </x:c>
      <x:c r="Q23" s="983" t="n">
        <x:v>4096</x:v>
      </x:c>
      <x:c r="R23" s="983" t="n">
        <x:v>262136</x:v>
      </x:c>
      <x:c r="S23" s="1003" t="n">
        <x:v>0.4240934851296454</x:v>
      </x:c>
      <x:c r="T23" s="1001" t="n">
        <x:v>128</x:v>
      </x:c>
      <x:c r="U23" s="1001" t="n">
        <x:v>256</x:v>
      </x:c>
      <x:c r="V23" s="1003" t="n">
        <x:v>1</x:v>
      </x:c>
      <x:c r="W23" s="685" t="str">
        <x:v>PASS</x:v>
      </x:c>
      <x:c r="X23" s="940" t="str">
        <x:v>/Users/blacktraker/Programming/gitproj/DV4/SuperNPUBench/outputs/matmul_other4_refresh_20261010/sweep/02_bf16/build/BF16_M256_N32767_K128_tM128_tN128_tK64/kernel/matmul/elf/kernel_matmul_matmul_shared_B1_M256_N32767_K128_tM128_tN128_tK64_DType__bf16.elf</x:v>
      </x:c>
      <x:c r="Y23" s="940" t="str">
        <x:v>/Users/blacktraker/Programming/gitproj/DV4/SuperNPUBench/outputs/matmul_other4_refresh_20261010/sweep/02_bf16/logs/BF16_M256_N32767_K128_tM128_tN128_tK64.gfsim.log</x:v>
      </x:c>
      <x:c r="Z23" s="940" t="str">
        <x:v>PASS；matmul_shared；ELF=/Users/blacktraker/Programming/gitproj/DV4/SuperNPUBench/outputs/matmul_other4_refresh_20261010/sweep/02_bf16/build/BF16_M256_N32767_K128_tM128_tN128_tK64/kernel/matmul/elf/kernel_matmul_matmul_shared_B1_M256_N32767_K128_tM128_tN128_tK64_DType__bf16.elf；gfsim log=/Users/blacktraker/Programming/gitproj/DV4/SuperNPUBench/outputs/matmul_other4_refresh_20261010/sweep/02_bf16/logs/BF16_M256_N32767_K128_tM128_tN128_tK64.gfsim.log</x:v>
      </x:c>
      <x:c r="AA23" s="940"/>
      <x:c r="AB23" s="940" t="str">
        <x:v>matmul_shared; tM=128; tN=128; tK=64</x:v>
      </x:c>
      <x:c r="AC23" s="685" t="str">
        <x:v>否</x:v>
      </x:c>
    </x:row>
    <x:row r="24" ht="31.5" customHeight="1">
      <x:c r="A24" s="976" t="str">
        <x:v>matmul (ubm)</x:v>
      </x:c>
      <x:c r="B24" s="976" t="str">
        <x:v>BF16</x:v>
      </x:c>
      <x:c r="C24" s="983" t="n">
        <x:v>256</x:v>
      </x:c>
      <x:c r="D24" s="983" t="n">
        <x:v>32767</x:v>
      </x:c>
      <x:c r="E24" s="983" t="n">
        <x:v>128</x:v>
      </x:c>
      <x:c r="F24" s="976" t="str">
        <x:v>[256,32767,128]</x:v>
      </x:c>
      <x:c r="G24" s="976" t="str">
        <x:v>B-major</x:v>
      </x:c>
      <x:c r="H24" s="976" t="str">
        <x:v>matmul_shared</x:v>
      </x:c>
      <x:c r="I24" s="983" t="n">
        <x:v>128</x:v>
      </x:c>
      <x:c r="J24" s="983" t="n">
        <x:v>128</x:v>
      </x:c>
      <x:c r="K24" s="983" t="n">
        <x:v>128</x:v>
      </x:c>
      <x:c r="L24" s="1001" t="n">
        <x:v>32</x:v>
      </x:c>
      <x:c r="M24" s="1001" t="n">
        <x:v>32</x:v>
      </x:c>
      <x:c r="N24" s="1001" t="n">
        <x:v>64</x:v>
      </x:c>
      <x:c r="O24" s="983" t="n">
        <x:v>616935</x:v>
      </x:c>
      <x:c r="P24" s="1002" t="n">
        <x:v>385.584375</x:v>
      </x:c>
      <x:c r="Q24" s="983" t="n">
        <x:v>4096</x:v>
      </x:c>
      <x:c r="R24" s="983" t="n">
        <x:v>262136</x:v>
      </x:c>
      <x:c r="S24" s="1003" t="n">
        <x:v>0.42490051626184283</x:v>
      </x:c>
      <x:c r="T24" s="1001" t="n">
        <x:v>128</x:v>
      </x:c>
      <x:c r="U24" s="1001" t="n">
        <x:v>128</x:v>
      </x:c>
      <x:c r="V24" s="1003" t="n">
        <x:v>1</x:v>
      </x:c>
      <x:c r="W24" s="685" t="str">
        <x:v>PASS</x:v>
      </x:c>
      <x:c r="X24" s="940" t="str">
        <x:v>/Users/blacktraker/Programming/gitproj/DV4/SuperNPUBench/outputs/matmul_other4_refresh_20261010/sweep/02_bf16/build/BF16_M256_N32767_K128_tM128_tN128_tK128/kernel/matmul/elf/kernel_matmul_matmul_shared_B1_M256_N32767_K128_tM128_tN128_tK128_DType__bf16.elf</x:v>
      </x:c>
      <x:c r="Y24" s="940" t="str">
        <x:v>/Users/blacktraker/Programming/gitproj/DV4/SuperNPUBench/outputs/matmul_other4_refresh_20261010/sweep/02_bf16/logs/BF16_M256_N32767_K128_tM128_tN128_tK128.gfsim.log</x:v>
      </x:c>
      <x:c r="Z24" s="940" t="str">
        <x:v>PASS；matmul_shared；ELF=/Users/blacktraker/Programming/gitproj/DV4/SuperNPUBench/outputs/matmul_other4_refresh_20261010/sweep/02_bf16/build/BF16_M256_N32767_K128_tM128_tN128_tK128/kernel/matmul/elf/kernel_matmul_matmul_shared_B1_M256_N32767_K128_tM128_tN128_tK128_DType__bf16.elf；gfsim log=/Users/blacktraker/Programming/gitproj/DV4/SuperNPUBench/outputs/matmul_other4_refresh_20261010/sweep/02_bf16/logs/BF16_M256_N32767_K128_tM128_tN128_tK128.gfsim.log</x:v>
      </x:c>
      <x:c r="AA24" s="940"/>
      <x:c r="AB24" s="940" t="str">
        <x:v>matmul_shared; tM=128; tN=128; tK=128</x:v>
      </x:c>
      <x:c r="AC24" s="685" t="str">
        <x:v>否</x:v>
      </x:c>
    </x:row>
    <x:row r="25" ht="31.5" customHeight="1">
      <x:c r="A25" s="976" t="str">
        <x:v>matmul (ubm)</x:v>
      </x:c>
      <x:c r="B25" s="976" t="str">
        <x:v>BF16</x:v>
      </x:c>
      <x:c r="C25" s="983" t="n">
        <x:v>256</x:v>
      </x:c>
      <x:c r="D25" s="983" t="n">
        <x:v>32767</x:v>
      </x:c>
      <x:c r="E25" s="983" t="n">
        <x:v>128</x:v>
      </x:c>
      <x:c r="F25" s="976" t="str">
        <x:v>[256,32767,128]</x:v>
      </x:c>
      <x:c r="G25" s="976" t="str">
        <x:v>B-major</x:v>
      </x:c>
      <x:c r="H25" s="976" t="str">
        <x:v>matmul_shared</x:v>
      </x:c>
      <x:c r="I25" s="983" t="n">
        <x:v>128</x:v>
      </x:c>
      <x:c r="J25" s="983" t="n">
        <x:v>256</x:v>
      </x:c>
      <x:c r="K25" s="983" t="n">
        <x:v>64</x:v>
      </x:c>
      <x:c r="L25" s="1001" t="n">
        <x:v>16</x:v>
      </x:c>
      <x:c r="M25" s="1001" t="n">
        <x:v>32</x:v>
      </x:c>
      <x:c r="N25" s="1001" t="n">
        <x:v>48</x:v>
      </x:c>
      <x:c r="O25" s="983" t="n">
        <x:v>518308</x:v>
      </x:c>
      <x:c r="P25" s="1002" t="n">
        <x:v>323.9425</x:v>
      </x:c>
      <x:c r="Q25" s="983" t="n">
        <x:v>4096</x:v>
      </x:c>
      <x:c r="R25" s="983" t="n">
        <x:v>262136</x:v>
      </x:c>
      <x:c r="S25" s="1003" t="n">
        <x:v>0.5057533358543569</x:v>
      </x:c>
      <x:c r="T25" s="1001" t="n">
        <x:v>96</x:v>
      </x:c>
      <x:c r="U25" s="1001" t="n">
        <x:v>256</x:v>
      </x:c>
      <x:c r="V25" s="1003" t="n">
        <x:v>1</x:v>
      </x:c>
      <x:c r="W25" s="685" t="str">
        <x:v>PASS</x:v>
      </x:c>
      <x:c r="X25" s="940" t="str">
        <x:v>/Users/blacktraker/Programming/gitproj/DV4/SuperNPUBench/outputs/matmul_other4_refresh_20261010/sweep/02_bf16/build/BF16_M256_N32767_K128_tM128_tN256_tK64/kernel/matmul/elf/kernel_matmul_matmul_shared_B1_M256_N32767_K128_tM128_tN256_tK64_DType__bf16.elf</x:v>
      </x:c>
      <x:c r="Y25" s="940" t="str">
        <x:v>/Users/blacktraker/Programming/gitproj/DV4/SuperNPUBench/outputs/matmul_other4_refresh_20261010/sweep/02_bf16/logs/BF16_M256_N32767_K128_tM128_tN256_tK64.gfsim.log</x:v>
      </x:c>
      <x:c r="Z25" s="940" t="str">
        <x:v>PASS；matmul_shared；ELF=/Users/blacktraker/Programming/gitproj/DV4/SuperNPUBench/outputs/matmul_other4_refresh_20261010/sweep/02_bf16/build/BF16_M256_N32767_K128_tM128_tN256_tK64/kernel/matmul/elf/kernel_matmul_matmul_shared_B1_M256_N32767_K128_tM128_tN256_tK64_DType__bf16.elf；gfsim log=/Users/blacktraker/Programming/gitproj/DV4/SuperNPUBench/outputs/matmul_other4_refresh_20261010/sweep/02_bf16/logs/BF16_M256_N32767_K128_tM128_tN256_tK64.gfsim.log</x:v>
      </x:c>
      <x:c r="AA25" s="940"/>
      <x:c r="AB25" s="940" t="str">
        <x:v>matmul_shared; tM=128; tN=256; tK=64</x:v>
      </x:c>
      <x:c r="AC25" s="685" t="str">
        <x:v>否</x:v>
      </x:c>
    </x:row>
    <x:row r="26" ht="31.5" customHeight="1">
      <x:c r="A26" s="976" t="str">
        <x:v>matmul (ubm)</x:v>
      </x:c>
      <x:c r="B26" s="976" t="str">
        <x:v>BF16</x:v>
      </x:c>
      <x:c r="C26" s="983" t="n">
        <x:v>256</x:v>
      </x:c>
      <x:c r="D26" s="983" t="n">
        <x:v>32767</x:v>
      </x:c>
      <x:c r="E26" s="983" t="n">
        <x:v>128</x:v>
      </x:c>
      <x:c r="F26" s="976" t="str">
        <x:v>[256,32767,128]</x:v>
      </x:c>
      <x:c r="G26" s="976" t="str">
        <x:v>B-major</x:v>
      </x:c>
      <x:c r="H26" s="976" t="str">
        <x:v>matmul_shared</x:v>
      </x:c>
      <x:c r="I26" s="1004" t="n">
        <x:v>128</x:v>
      </x:c>
      <x:c r="J26" s="1004" t="n">
        <x:v>256</x:v>
      </x:c>
      <x:c r="K26" s="1004" t="n">
        <x:v>128</x:v>
      </x:c>
      <x:c r="L26" s="1001" t="n">
        <x:v>32</x:v>
      </x:c>
      <x:c r="M26" s="1001" t="n">
        <x:v>64</x:v>
      </x:c>
      <x:c r="N26" s="1001" t="n">
        <x:v>96</x:v>
      </x:c>
      <x:c r="O26" s="998" t="n">
        <x:v>516077</x:v>
      </x:c>
      <x:c r="P26" s="999" t="n">
        <x:v>322.548125</x:v>
      </x:c>
      <x:c r="Q26" s="998" t="n">
        <x:v>4096</x:v>
      </x:c>
      <x:c r="R26" s="998" t="n">
        <x:v>262136</x:v>
      </x:c>
      <x:c r="S26" s="1000" t="n">
        <x:v>0.5079397066716789</x:v>
      </x:c>
      <x:c r="T26" s="1001" t="n">
        <x:v>96</x:v>
      </x:c>
      <x:c r="U26" s="1001" t="n">
        <x:v>128</x:v>
      </x:c>
      <x:c r="V26" s="1003" t="n">
        <x:v>1</x:v>
      </x:c>
      <x:c r="W26" s="685" t="str">
        <x:v>PASS</x:v>
      </x:c>
      <x:c r="X26" s="940" t="str">
        <x:v>/Users/blacktraker/Programming/gitproj/DV4/SuperNPUBench/outputs/matmul_other4_refresh_20261010/sweep/02_bf16/build/BF16_M256_N32767_K128_tM128_tN256_tK128/kernel/matmul/elf/kernel_matmul_matmul_shared_B1_M256_N32767_K128_tM128_tN256_tK128_DType__bf16.elf</x:v>
      </x:c>
      <x:c r="Y26" s="940" t="str">
        <x:v>/Users/blacktraker/Programming/gitproj/DV4/SuperNPUBench/outputs/matmul_other4_refresh_20261010/sweep/02_bf16/logs/BF16_M256_N32767_K128_tM128_tN256_tK128.gfsim.log</x:v>
      </x:c>
      <x:c r="Z26" s="940" t="str">
        <x:v>PASS；matmul_shared；ELF=/Users/blacktraker/Programming/gitproj/DV4/SuperNPUBench/outputs/matmul_other4_refresh_20261010/sweep/02_bf16/build/BF16_M256_N32767_K128_tM128_tN256_tK128/kernel/matmul/elf/kernel_matmul_matmul_shared_B1_M256_N32767_K128_tM128_tN256_tK128_DType__bf16.elf；gfsim log=/Users/blacktraker/Programming/gitproj/DV4/SuperNPUBench/outputs/matmul_other4_refresh_20261010/sweep/02_bf16/logs/BF16_M256_N32767_K128_tM128_tN256_tK128.gfsim.log</x:v>
      </x:c>
      <x:c r="AA26" s="940"/>
      <x:c r="AB26" s="940" t="str">
        <x:v>matmul_shared; tM=128; tN=256; tK=128</x:v>
      </x:c>
      <x:c r="AC26" s="966" t="str">
        <x:v>是</x:v>
      </x:c>
    </x:row>
    <x:row r="27" ht="31.5" customHeight="1">
      <x:c r="A27" s="976" t="str">
        <x:v>matmul (ubm)</x:v>
      </x:c>
      <x:c r="B27" s="976" t="str">
        <x:v>BF16</x:v>
      </x:c>
      <x:c r="C27" s="983" t="n">
        <x:v>256</x:v>
      </x:c>
      <x:c r="D27" s="983" t="n">
        <x:v>32767</x:v>
      </x:c>
      <x:c r="E27" s="983" t="n">
        <x:v>128</x:v>
      </x:c>
      <x:c r="F27" s="976" t="str">
        <x:v>[256,32767,128]</x:v>
      </x:c>
      <x:c r="G27" s="976" t="str">
        <x:v>B-major</x:v>
      </x:c>
      <x:c r="H27" s="976" t="str">
        <x:v>matmul_reuseA</x:v>
      </x:c>
      <x:c r="I27" s="983" t="n">
        <x:v>128</x:v>
      </x:c>
      <x:c r="J27" s="983" t="n">
        <x:v>64</x:v>
      </x:c>
      <x:c r="K27" s="983" t="n">
        <x:v>64</x:v>
      </x:c>
      <x:c r="L27" s="1001" t="n">
        <x:v>4</x:v>
      </x:c>
      <x:c r="M27" s="1001" t="n">
        <x:v>8</x:v>
      </x:c>
      <x:c r="N27" s="1001" t="n">
        <x:v>8</x:v>
      </x:c>
      <x:c r="O27" s="983" t="n">
        <x:v>519868</x:v>
      </x:c>
      <x:c r="P27" s="1002" t="n">
        <x:v>324.9175</x:v>
      </x:c>
      <x:c r="Q27" s="983" t="n">
        <x:v>4096</x:v>
      </x:c>
      <x:c r="R27" s="983" t="n">
        <x:v>262136</x:v>
      </x:c>
      <x:c r="S27" s="1003" t="n">
        <x:v>0.5042356905983827</x:v>
      </x:c>
      <x:c r="T27" s="1001" t="n">
        <x:v>64</x:v>
      </x:c>
      <x:c r="U27" s="1001" t="n">
        <x:v>256</x:v>
      </x:c>
      <x:c r="V27" s="1003" t="n">
        <x:v>1</x:v>
      </x:c>
      <x:c r="W27" s="685" t="str">
        <x:v>PASS</x:v>
      </x:c>
      <x:c r="X27" s="940" t="str">
        <x:v>/Users/blacktraker/Programming/gitproj/DV4/SuperNPUBench/outputs/matmul_reuseA_other_shapes_20261010/sweep_bf16_m256_n32767_k128/build/BF16_M256_N32767_K128_tM128_tN64_tK64/kernel/matmul/elf/kernel_matmul_matmul_reuseA_B1_M256_N32767_K128_tM128_tN64_tK64_DType__bf16.elf</x:v>
      </x:c>
      <x:c r="Y27" s="940" t="str">
        <x:v>/Users/blacktraker/Programming/gitproj/DV4/SuperNPUBench/outputs/matmul_reuseA_other_shapes_20261010/sweep_bf16_m256_n32767_k128/logs/BF16_M256_N32767_K128_tM128_tN64_tK64.gfsim.log</x:v>
      </x:c>
      <x:c r="Z27" s="940" t="str">
        <x:v>PASS；matmul_reuseA；valid_row/valid_col 尾块处理；ELF=/Users/blacktraker/Programming/gitproj/DV4/SuperNPUBench/outputs/matmul_reuseA_other_shapes_20261010/sweep_bf16_m256_n32767_k128/build/BF16_M256_N32767_K128_tM128_tN64_tK64/kernel/matmul/elf/kernel_matmul_matmul_reuseA_B1_M256_N32767_K128_tM128_tN64_tK64_DType__bf16.elf；gfsim log=/Users/blacktraker/Programming/gitproj/DV4/SuperNPUBench/outputs/matmul_reuseA_other_shapes_20261010/sweep_bf16_m256_n32767_k128/logs/BF16_M256_N32767_K128_tM128_tN64_tK64.gfsim.log；source=/Users/blacktraker/Programming/gitproj/DV4/SuperNPUBench/benchmark/one-level-arch/kernels/basic_op/matmul/matmul_reuseA.hpp</x:v>
      </x:c>
      <x:c r="AA27" s="940"/>
      <x:c r="AB27" s="940" t="str">
        <x:v>matmul_reuseA; tM=128; tN=64; tK=64; tail=valid_row/valid_col</x:v>
      </x:c>
      <x:c r="AC27" s="685" t="str">
        <x:v>否</x:v>
      </x:c>
    </x:row>
    <x:row r="28" ht="31.5" customHeight="1">
      <x:c r="A28" s="976" t="str">
        <x:v>matmul (ubm)</x:v>
      </x:c>
      <x:c r="B28" s="976" t="str">
        <x:v>BF16</x:v>
      </x:c>
      <x:c r="C28" s="983" t="n">
        <x:v>256</x:v>
      </x:c>
      <x:c r="D28" s="983" t="n">
        <x:v>32767</x:v>
      </x:c>
      <x:c r="E28" s="983" t="n">
        <x:v>128</x:v>
      </x:c>
      <x:c r="F28" s="976" t="str">
        <x:v>[256,32767,128]</x:v>
      </x:c>
      <x:c r="G28" s="976" t="str">
        <x:v>B-major</x:v>
      </x:c>
      <x:c r="H28" s="976" t="str">
        <x:v>matmul_reuseA</x:v>
      </x:c>
      <x:c r="I28" s="983" t="n">
        <x:v>128</x:v>
      </x:c>
      <x:c r="J28" s="983" t="n">
        <x:v>64</x:v>
      </x:c>
      <x:c r="K28" s="983" t="n">
        <x:v>128</x:v>
      </x:c>
      <x:c r="L28" s="1001" t="n">
        <x:v>8</x:v>
      </x:c>
      <x:c r="M28" s="1001" t="n">
        <x:v>16</x:v>
      </x:c>
      <x:c r="N28" s="1001" t="n">
        <x:v>16</x:v>
      </x:c>
      <x:c r="O28" s="983" t="n">
        <x:v>486573</x:v>
      </x:c>
      <x:c r="P28" s="1002" t="n">
        <x:v>304.108125</x:v>
      </x:c>
      <x:c r="Q28" s="983" t="n">
        <x:v>4096</x:v>
      </x:c>
      <x:c r="R28" s="983" t="n">
        <x:v>262136</x:v>
      </x:c>
      <x:c r="S28" s="1003" t="n">
        <x:v>0.5387393053046511</x:v>
      </x:c>
      <x:c r="T28" s="1001" t="n">
        <x:v>64</x:v>
      </x:c>
      <x:c r="U28" s="1001" t="n">
        <x:v>128</x:v>
      </x:c>
      <x:c r="V28" s="1003" t="n">
        <x:v>1</x:v>
      </x:c>
      <x:c r="W28" s="685" t="str">
        <x:v>PASS</x:v>
      </x:c>
      <x:c r="X28" s="940" t="str">
        <x:v>/Users/blacktraker/Programming/gitproj/DV4/SuperNPUBench/outputs/matmul_reuseA_other_shapes_20261010/sweep_bf16_m256_n32767_k128/build/BF16_M256_N32767_K128_tM128_tN64_tK128/kernel/matmul/elf/kernel_matmul_matmul_reuseA_B1_M256_N32767_K128_tM128_tN64_tK128_DType__bf16.elf</x:v>
      </x:c>
      <x:c r="Y28" s="940" t="str">
        <x:v>/Users/blacktraker/Programming/gitproj/DV4/SuperNPUBench/outputs/matmul_reuseA_other_shapes_20261010/sweep_bf16_m256_n32767_k128/logs/BF16_M256_N32767_K128_tM128_tN64_tK128.gfsim.log</x:v>
      </x:c>
      <x:c r="Z28" s="940" t="str">
        <x:v>PASS；matmul_reuseA；valid_row/valid_col 尾块处理；ELF=/Users/blacktraker/Programming/gitproj/DV4/SuperNPUBench/outputs/matmul_reuseA_other_shapes_20261010/sweep_bf16_m256_n32767_k128/build/BF16_M256_N32767_K128_tM128_tN64_tK128/kernel/matmul/elf/kernel_matmul_matmul_reuseA_B1_M256_N32767_K128_tM128_tN64_tK128_DType__bf16.elf；gfsim log=/Users/blacktraker/Programming/gitproj/DV4/SuperNPUBench/outputs/matmul_reuseA_other_shapes_20261010/sweep_bf16_m256_n32767_k128/logs/BF16_M256_N32767_K128_tM128_tN64_tK128.gfsim.log；source=/Users/blacktraker/Programming/gitproj/DV4/SuperNPUBench/benchmark/one-level-arch/kernels/basic_op/matmul/matmul_reuseA.hpp</x:v>
      </x:c>
      <x:c r="AA28" s="940"/>
      <x:c r="AB28" s="940" t="str">
        <x:v>matmul_reuseA; tM=128; tN=64; tK=128; tail=valid_row/valid_col</x:v>
      </x:c>
      <x:c r="AC28" s="685" t="str">
        <x:v>否</x:v>
      </x:c>
    </x:row>
    <x:row r="29" ht="31.5" customHeight="1">
      <x:c r="A29" s="976" t="str">
        <x:v>matmul (ubm)</x:v>
      </x:c>
      <x:c r="B29" s="976" t="str">
        <x:v>BF16</x:v>
      </x:c>
      <x:c r="C29" s="983" t="n">
        <x:v>256</x:v>
      </x:c>
      <x:c r="D29" s="983" t="n">
        <x:v>32767</x:v>
      </x:c>
      <x:c r="E29" s="983" t="n">
        <x:v>128</x:v>
      </x:c>
      <x:c r="F29" s="976" t="str">
        <x:v>[256,32767,128]</x:v>
      </x:c>
      <x:c r="G29" s="976" t="str">
        <x:v>B-major</x:v>
      </x:c>
      <x:c r="H29" s="976" t="str">
        <x:v>matmul_reuseA</x:v>
      </x:c>
      <x:c r="I29" s="1004" t="n">
        <x:v>128</x:v>
      </x:c>
      <x:c r="J29" s="1004" t="n">
        <x:v>128</x:v>
      </x:c>
      <x:c r="K29" s="1004" t="n">
        <x:v>64</x:v>
      </x:c>
      <x:c r="L29" s="1001" t="n">
        <x:v>4</x:v>
      </x:c>
      <x:c r="M29" s="1001" t="n">
        <x:v>16</x:v>
      </x:c>
      <x:c r="N29" s="1001" t="n">
        <x:v>16</x:v>
      </x:c>
      <x:c r="O29" s="998" t="n">
        <x:v>431896</x:v>
      </x:c>
      <x:c r="P29" s="999" t="n">
        <x:v>269.935</x:v>
      </x:c>
      <x:c r="Q29" s="998" t="n">
        <x:v>4096</x:v>
      </x:c>
      <x:c r="R29" s="998" t="n">
        <x:v>262136</x:v>
      </x:c>
      <x:c r="S29" s="1000" t="n">
        <x:v>0.6069424120621632</x:v>
      </x:c>
      <x:c r="T29" s="1001" t="n">
        <x:v>64</x:v>
      </x:c>
      <x:c r="U29" s="1001" t="n">
        <x:v>256</x:v>
      </x:c>
      <x:c r="V29" s="1003" t="n">
        <x:v>1</x:v>
      </x:c>
      <x:c r="W29" s="685" t="str">
        <x:v>PASS</x:v>
      </x:c>
      <x:c r="X29" s="940" t="str">
        <x:v>/Users/blacktraker/Programming/gitproj/DV4/SuperNPUBench/outputs/matmul_reuseA_other_shapes_20261010/sweep_bf16_m256_n32767_k128/build/BF16_M256_N32767_K128_tM128_tN128_tK64/kernel/matmul/elf/kernel_matmul_matmul_reuseA_B1_M256_N32767_K128_tM128_tN128_tK64_DType__bf16.elf</x:v>
      </x:c>
      <x:c r="Y29" s="940" t="str">
        <x:v>/Users/blacktraker/Programming/gitproj/DV4/SuperNPUBench/outputs/matmul_reuseA_other_shapes_20261010/sweep_bf16_m256_n32767_k128/logs/BF16_M256_N32767_K128_tM128_tN128_tK64.gfsim.log</x:v>
      </x:c>
      <x:c r="Z29" s="940" t="str">
        <x:v>PASS；matmul_reuseA；valid_row/valid_col 尾块处理；ELF=/Users/blacktraker/Programming/gitproj/DV4/SuperNPUBench/outputs/matmul_reuseA_other_shapes_20261010/sweep_bf16_m256_n32767_k128/build/BF16_M256_N32767_K128_tM128_tN128_tK64/kernel/matmul/elf/kernel_matmul_matmul_reuseA_B1_M256_N32767_K128_tM128_tN128_tK64_DType__bf16.elf；gfsim log=/Users/blacktraker/Programming/gitproj/DV4/SuperNPUBench/outputs/matmul_reuseA_other_shapes_20261010/sweep_bf16_m256_n32767_k128/logs/BF16_M256_N32767_K128_tM128_tN128_tK64.gfsim.log；source=/Users/blacktraker/Programming/gitproj/DV4/SuperNPUBench/benchmark/one-level-arch/kernels/basic_op/matmul/matmul_reuseA.hpp</x:v>
      </x:c>
      <x:c r="AA29" s="940"/>
      <x:c r="AB29" s="940" t="str">
        <x:v>matmul_reuseA; tM=128; tN=128; tK=64; tail=valid_row/valid_col</x:v>
      </x:c>
      <x:c r="AC29" s="966" t="str">
        <x:v>是</x:v>
      </x:c>
    </x:row>
    <x:row r="30" ht="31.5" customHeight="1">
      <x:c r="A30" s="976" t="str">
        <x:v>matmul (ubm)</x:v>
      </x:c>
      <x:c r="B30" s="976" t="str">
        <x:v>BF16</x:v>
      </x:c>
      <x:c r="C30" s="983" t="n">
        <x:v>256</x:v>
      </x:c>
      <x:c r="D30" s="983" t="n">
        <x:v>32767</x:v>
      </x:c>
      <x:c r="E30" s="983" t="n">
        <x:v>128</x:v>
      </x:c>
      <x:c r="F30" s="976" t="str">
        <x:v>[256,32767,128]</x:v>
      </x:c>
      <x:c r="G30" s="976" t="str">
        <x:v>B-major</x:v>
      </x:c>
      <x:c r="H30" s="976" t="str">
        <x:v>matmul_reuseA</x:v>
      </x:c>
      <x:c r="I30" s="983" t="n">
        <x:v>128</x:v>
      </x:c>
      <x:c r="J30" s="983" t="n">
        <x:v>128</x:v>
      </x:c>
      <x:c r="K30" s="983" t="n">
        <x:v>128</x:v>
      </x:c>
      <x:c r="L30" s="1001" t="n">
        <x:v>8</x:v>
      </x:c>
      <x:c r="M30" s="1001" t="n">
        <x:v>32</x:v>
      </x:c>
      <x:c r="N30" s="1001" t="n">
        <x:v>32</x:v>
      </x:c>
      <x:c r="O30" s="983" t="n">
        <x:v>434208</x:v>
      </x:c>
      <x:c r="P30" s="1002" t="n">
        <x:v>271.38</x:v>
      </x:c>
      <x:c r="Q30" s="983" t="n">
        <x:v>4096</x:v>
      </x:c>
      <x:c r="R30" s="983" t="n">
        <x:v>262136</x:v>
      </x:c>
      <x:c r="S30" s="1003" t="n">
        <x:v>0.6037106640135603</x:v>
      </x:c>
      <x:c r="T30" s="1001" t="n">
        <x:v>64</x:v>
      </x:c>
      <x:c r="U30" s="1001" t="n">
        <x:v>128</x:v>
      </x:c>
      <x:c r="V30" s="1003" t="n">
        <x:v>1</x:v>
      </x:c>
      <x:c r="W30" s="685" t="str">
        <x:v>PASS</x:v>
      </x:c>
      <x:c r="X30" s="940" t="str">
        <x:v>/Users/blacktraker/Programming/gitproj/DV4/SuperNPUBench/outputs/matmul_reuseA_other_shapes_20261010/sweep_bf16_m256_n32767_k128/build/BF16_M256_N32767_K128_tM128_tN128_tK128/kernel/matmul/elf/kernel_matmul_matmul_reuseA_B1_M256_N32767_K128_tM128_tN128_tK128_DType__bf16.elf</x:v>
      </x:c>
      <x:c r="Y30" s="940" t="str">
        <x:v>/Users/blacktraker/Programming/gitproj/DV4/SuperNPUBench/outputs/matmul_reuseA_other_shapes_20261010/sweep_bf16_m256_n32767_k128/logs/BF16_M256_N32767_K128_tM128_tN128_tK128.gfsim.log</x:v>
      </x:c>
      <x:c r="Z30" s="940" t="str">
        <x:v>PASS；matmul_reuseA；valid_row/valid_col 尾块处理；ELF=/Users/blacktraker/Programming/gitproj/DV4/SuperNPUBench/outputs/matmul_reuseA_other_shapes_20261010/sweep_bf16_m256_n32767_k128/build/BF16_M256_N32767_K128_tM128_tN128_tK128/kernel/matmul/elf/kernel_matmul_matmul_reuseA_B1_M256_N32767_K128_tM128_tN128_tK128_DType__bf16.elf；gfsim log=/Users/blacktraker/Programming/gitproj/DV4/SuperNPUBench/outputs/matmul_reuseA_other_shapes_20261010/sweep_bf16_m256_n32767_k128/logs/BF16_M256_N32767_K128_tM128_tN128_tK128.gfsim.log；source=/Users/blacktraker/Programming/gitproj/DV4/SuperNPUBench/benchmark/one-level-arch/kernels/basic_op/matmul/matmul_reuseA.hpp</x:v>
      </x:c>
      <x:c r="AA30" s="940"/>
      <x:c r="AB30" s="940" t="str">
        <x:v>matmul_reuseA; tM=128; tN=128; tK=128; tail=valid_row/valid_col</x:v>
      </x:c>
      <x:c r="AC30" s="685" t="str">
        <x:v>否</x:v>
      </x:c>
    </x:row>
    <x:row r="31" ht="31.5" customHeight="1">
      <x:c r="A31" s="976" t="str">
        <x:v>matmul (ubm)</x:v>
      </x:c>
      <x:c r="B31" s="976" t="str">
        <x:v>BF16</x:v>
      </x:c>
      <x:c r="C31" s="983" t="n">
        <x:v>256</x:v>
      </x:c>
      <x:c r="D31" s="983" t="n">
        <x:v>32767</x:v>
      </x:c>
      <x:c r="E31" s="983" t="n">
        <x:v>128</x:v>
      </x:c>
      <x:c r="F31" s="976" t="str">
        <x:v>[256,32767,128]</x:v>
      </x:c>
      <x:c r="G31" s="976" t="str">
        <x:v>B-major</x:v>
      </x:c>
      <x:c r="H31" s="976" t="str">
        <x:v>matmul_reuseA</x:v>
      </x:c>
      <x:c r="I31" s="983" t="n">
        <x:v>128</x:v>
      </x:c>
      <x:c r="J31" s="983" t="n">
        <x:v>256</x:v>
      </x:c>
      <x:c r="K31" s="983" t="n">
        <x:v>64</x:v>
      </x:c>
      <x:c r="L31" s="1001" t="n">
        <x:v>4</x:v>
      </x:c>
      <x:c r="M31" s="1001" t="n">
        <x:v>32</x:v>
      </x:c>
      <x:c r="N31" s="1001" t="n">
        <x:v>32</x:v>
      </x:c>
      <x:c r="O31" s="983" t="n">
        <x:v>439538</x:v>
      </x:c>
      <x:c r="P31" s="1002" t="n">
        <x:v>274.71125</x:v>
      </x:c>
      <x:c r="Q31" s="983" t="n">
        <x:v>4096</x:v>
      </x:c>
      <x:c r="R31" s="983" t="n">
        <x:v>262136</x:v>
      </x:c>
      <x:c r="S31" s="1003" t="n">
        <x:v>0.5963898457016231</x:v>
      </x:c>
      <x:c r="T31" s="1001" t="n">
        <x:v>64</x:v>
      </x:c>
      <x:c r="U31" s="1001" t="n">
        <x:v>256</x:v>
      </x:c>
      <x:c r="V31" s="1003" t="n">
        <x:v>1</x:v>
      </x:c>
      <x:c r="W31" s="685" t="str">
        <x:v>PASS</x:v>
      </x:c>
      <x:c r="X31" s="940" t="str">
        <x:v>/Users/blacktraker/Programming/gitproj/DV4/SuperNPUBench/outputs/matmul_reuseA_other_shapes_20261010/sweep_bf16_m256_n32767_k128/build/BF16_M256_N32767_K128_tM128_tN256_tK64/kernel/matmul/elf/kernel_matmul_matmul_reuseA_B1_M256_N32767_K128_tM128_tN256_tK64_DType__bf16.elf</x:v>
      </x:c>
      <x:c r="Y31" s="940" t="str">
        <x:v>/Users/blacktraker/Programming/gitproj/DV4/SuperNPUBench/outputs/matmul_reuseA_other_shapes_20261010/sweep_bf16_m256_n32767_k128/logs/BF16_M256_N32767_K128_tM128_tN256_tK64.gfsim.log</x:v>
      </x:c>
      <x:c r="Z31" s="940" t="str">
        <x:v>PASS；matmul_reuseA；valid_row/valid_col 尾块处理；ELF=/Users/blacktraker/Programming/gitproj/DV4/SuperNPUBench/outputs/matmul_reuseA_other_shapes_20261010/sweep_bf16_m256_n32767_k128/build/BF16_M256_N32767_K128_tM128_tN256_tK64/kernel/matmul/elf/kernel_matmul_matmul_reuseA_B1_M256_N32767_K128_tM128_tN256_tK64_DType__bf16.elf；gfsim log=/Users/blacktraker/Programming/gitproj/DV4/SuperNPUBench/outputs/matmul_reuseA_other_shapes_20261010/sweep_bf16_m256_n32767_k128/logs/BF16_M256_N32767_K128_tM128_tN256_tK64.gfsim.log；source=/Users/blacktraker/Programming/gitproj/DV4/SuperNPUBench/benchmark/one-level-arch/kernels/basic_op/matmul/matmul_reuseA.hpp</x:v>
      </x:c>
      <x:c r="AA31" s="940"/>
      <x:c r="AB31" s="940" t="str">
        <x:v>matmul_reuseA; tM=128; tN=256; tK=64; tail=valid_row/valid_col</x:v>
      </x:c>
      <x:c r="AC31" s="685" t="str">
        <x:v>否</x:v>
      </x:c>
    </x:row>
    <x:row r="32" ht="31.5" customHeight="1">
      <x:c r="A32" s="976" t="str">
        <x:v>matmul (ubm)</x:v>
      </x:c>
      <x:c r="B32" s="976" t="str">
        <x:v>BF16</x:v>
      </x:c>
      <x:c r="C32" s="983" t="n">
        <x:v>256</x:v>
      </x:c>
      <x:c r="D32" s="983" t="n">
        <x:v>32767</x:v>
      </x:c>
      <x:c r="E32" s="983" t="n">
        <x:v>128</x:v>
      </x:c>
      <x:c r="F32" s="976" t="str">
        <x:v>[256,32767,128]</x:v>
      </x:c>
      <x:c r="G32" s="976" t="str">
        <x:v>B-major</x:v>
      </x:c>
      <x:c r="H32" s="976" t="str">
        <x:v>matmul_reuseA</x:v>
      </x:c>
      <x:c r="I32" s="983" t="n">
        <x:v>128</x:v>
      </x:c>
      <x:c r="J32" s="983" t="n">
        <x:v>256</x:v>
      </x:c>
      <x:c r="K32" s="983" t="n">
        <x:v>128</x:v>
      </x:c>
      <x:c r="L32" s="1001" t="n">
        <x:v>8</x:v>
      </x:c>
      <x:c r="M32" s="1001" t="n">
        <x:v>64</x:v>
      </x:c>
      <x:c r="N32" s="1001" t="n">
        <x:v>64</x:v>
      </x:c>
      <x:c r="O32" s="983" t="n">
        <x:v>437956</x:v>
      </x:c>
      <x:c r="P32" s="1002" t="n">
        <x:v>273.7225</x:v>
      </x:c>
      <x:c r="Q32" s="983" t="n">
        <x:v>4096</x:v>
      </x:c>
      <x:c r="R32" s="983" t="n">
        <x:v>262136</x:v>
      </x:c>
      <x:c r="S32" s="1003" t="n">
        <x:v>0.5985441459872681</x:v>
      </x:c>
      <x:c r="T32" s="1001" t="n">
        <x:v>64</x:v>
      </x:c>
      <x:c r="U32" s="1001" t="n">
        <x:v>128</x:v>
      </x:c>
      <x:c r="V32" s="1003" t="n">
        <x:v>1</x:v>
      </x:c>
      <x:c r="W32" s="685" t="str">
        <x:v>PASS</x:v>
      </x:c>
      <x:c r="X32" s="940" t="str">
        <x:v>/Users/blacktraker/Programming/gitproj/DV4/SuperNPUBench/outputs/matmul_reuseA_other_shapes_20261010/sweep_bf16_m256_n32767_k128/build/BF16_M256_N32767_K128_tM128_tN256_tK128/kernel/matmul/elf/kernel_matmul_matmul_reuseA_B1_M256_N32767_K128_tM128_tN256_tK128_DType__bf16.elf</x:v>
      </x:c>
      <x:c r="Y32" s="940" t="str">
        <x:v>/Users/blacktraker/Programming/gitproj/DV4/SuperNPUBench/outputs/matmul_reuseA_other_shapes_20261010/sweep_bf16_m256_n32767_k128/logs/BF16_M256_N32767_K128_tM128_tN256_tK128.gfsim.log</x:v>
      </x:c>
      <x:c r="Z32" s="940" t="str">
        <x:v>PASS；matmul_reuseA；valid_row/valid_col 尾块处理；ELF=/Users/blacktraker/Programming/gitproj/DV4/SuperNPUBench/outputs/matmul_reuseA_other_shapes_20261010/sweep_bf16_m256_n32767_k128/build/BF16_M256_N32767_K128_tM128_tN256_tK128/kernel/matmul/elf/kernel_matmul_matmul_reuseA_B1_M256_N32767_K128_tM128_tN256_tK128_DType__bf16.elf；gfsim log=/Users/blacktraker/Programming/gitproj/DV4/SuperNPUBench/outputs/matmul_reuseA_other_shapes_20261010/sweep_bf16_m256_n32767_k128/logs/BF16_M256_N32767_K128_tM128_tN256_tK128.gfsim.log；source=/Users/blacktraker/Programming/gitproj/DV4/SuperNPUBench/benchmark/one-level-arch/kernels/basic_op/matmul/matmul_reuseA.hpp</x:v>
      </x:c>
      <x:c r="AA32" s="940"/>
      <x:c r="AB32" s="940" t="str">
        <x:v>matmul_reuseA; tM=128; tN=256; tK=128; tail=valid_row/valid_col</x:v>
      </x:c>
      <x:c r="AC32" s="685" t="str">
        <x:v>否</x:v>
      </x:c>
    </x:row>
    <x:row r="33" ht="31.5" customHeight="1">
      <x:c r="A33" s="977" t="str">
        <x:v>matmul (ubm)</x:v>
      </x:c>
      <x:c r="B33" s="977" t="str">
        <x:v>FP16</x:v>
      </x:c>
      <x:c r="C33" s="984" t="n">
        <x:v>288</x:v>
      </x:c>
      <x:c r="D33" s="984" t="n">
        <x:v>7392</x:v>
      </x:c>
      <x:c r="E33" s="984" t="n">
        <x:v>256</x:v>
      </x:c>
      <x:c r="F33" s="977" t="str">
        <x:v>[288,7392,256]</x:v>
      </x:c>
      <x:c r="G33" s="977" t="str">
        <x:v>B-major</x:v>
      </x:c>
      <x:c r="H33" s="977" t="str">
        <x:v>matmul_shared</x:v>
      </x:c>
      <x:c r="I33" s="984" t="n">
        <x:v>128</x:v>
      </x:c>
      <x:c r="J33" s="984" t="n">
        <x:v>64</x:v>
      </x:c>
      <x:c r="K33" s="984" t="n">
        <x:v>64</x:v>
      </x:c>
      <x:c r="L33" s="1005" t="n">
        <x:v>16</x:v>
      </x:c>
      <x:c r="M33" s="1005" t="n">
        <x:v>8</x:v>
      </x:c>
      <x:c r="N33" s="1005" t="n">
        <x:v>24</x:v>
      </x:c>
      <x:c r="O33" s="984" t="n">
        <x:v>331634</x:v>
      </x:c>
      <x:c r="P33" s="1006" t="n">
        <x:v>207.27125</x:v>
      </x:c>
      <x:c r="Q33" s="984" t="n">
        <x:v>4096</x:v>
      </x:c>
      <x:c r="R33" s="984" t="n">
        <x:v>133056</x:v>
      </x:c>
      <x:c r="S33" s="1007" t="n">
        <x:v>0.4012133858410175</x:v>
      </x:c>
      <x:c r="T33" s="1005" t="n">
        <x:v>192</x:v>
      </x:c>
      <x:c r="U33" s="1005" t="n">
        <x:v>256</x:v>
      </x:c>
      <x:c r="V33" s="1007" t="n">
        <x:v>0.6666666666666666</x:v>
      </x:c>
      <x:c r="W33" s="692" t="str">
        <x:v>PASS</x:v>
      </x:c>
      <x:c r="X33" s="944" t="str">
        <x:v>/Users/blacktraker/Programming/gitproj/DV4/SuperNPUBench/outputs/matmul_other4_refresh_20261010/sweep/03_fp16/build/FP16_M288_N7392_K256_tM128_tN64_tK64/kernel/matmul/elf/kernel_matmul_matmul_shared_B1_M288_N7392_K256_tM128_tN64_tK64_DType__half.elf</x:v>
      </x:c>
      <x:c r="Y33" s="944" t="str">
        <x:v>/Users/blacktraker/Programming/gitproj/DV4/SuperNPUBench/outputs/matmul_other4_refresh_20261010/sweep/03_fp16/logs/FP16_M288_N7392_K256_tM128_tN64_tK64.gfsim.log</x:v>
      </x:c>
      <x:c r="Z33" s="944" t="str">
        <x:v>PASS；matmul_shared；ELF=/Users/blacktraker/Programming/gitproj/DV4/SuperNPUBench/outputs/matmul_other4_refresh_20261010/sweep/03_fp16/build/FP16_M288_N7392_K256_tM128_tN64_tK64/kernel/matmul/elf/kernel_matmul_matmul_shared_B1_M288_N7392_K256_tM128_tN64_tK64_DType__half.elf；gfsim log=/Users/blacktraker/Programming/gitproj/DV4/SuperNPUBench/outputs/matmul_other4_refresh_20261010/sweep/03_fp16/logs/FP16_M288_N7392_K256_tM128_tN64_tK64.gfsim.log</x:v>
      </x:c>
      <x:c r="AA33" s="944"/>
      <x:c r="AB33" s="944" t="str">
        <x:v>matmul_shared; tM=128; tN=64; tK=64</x:v>
      </x:c>
      <x:c r="AC33" s="692" t="str">
        <x:v>否</x:v>
      </x:c>
    </x:row>
    <x:row r="34" ht="31.5" customHeight="1">
      <x:c r="A34" s="977" t="str">
        <x:v>matmul (ubm)</x:v>
      </x:c>
      <x:c r="B34" s="977" t="str">
        <x:v>FP16</x:v>
      </x:c>
      <x:c r="C34" s="984" t="n">
        <x:v>288</x:v>
      </x:c>
      <x:c r="D34" s="984" t="n">
        <x:v>7392</x:v>
      </x:c>
      <x:c r="E34" s="984" t="n">
        <x:v>256</x:v>
      </x:c>
      <x:c r="F34" s="977" t="str">
        <x:v>[288,7392,256]</x:v>
      </x:c>
      <x:c r="G34" s="977" t="str">
        <x:v>B-major</x:v>
      </x:c>
      <x:c r="H34" s="977" t="str">
        <x:v>matmul_shared</x:v>
      </x:c>
      <x:c r="I34" s="984" t="n">
        <x:v>128</x:v>
      </x:c>
      <x:c r="J34" s="984" t="n">
        <x:v>64</x:v>
      </x:c>
      <x:c r="K34" s="984" t="n">
        <x:v>128</x:v>
      </x:c>
      <x:c r="L34" s="1005" t="n">
        <x:v>32</x:v>
      </x:c>
      <x:c r="M34" s="1005" t="n">
        <x:v>16</x:v>
      </x:c>
      <x:c r="N34" s="1005" t="n">
        <x:v>48</x:v>
      </x:c>
      <x:c r="O34" s="984" t="n">
        <x:v>346305</x:v>
      </x:c>
      <x:c r="P34" s="1006" t="n">
        <x:v>216.440625</x:v>
      </x:c>
      <x:c r="Q34" s="984" t="n">
        <x:v>4096</x:v>
      </x:c>
      <x:c r="R34" s="984" t="n">
        <x:v>133056</x:v>
      </x:c>
      <x:c r="S34" s="1007" t="n">
        <x:v>0.3842162255814961</x:v>
      </x:c>
      <x:c r="T34" s="1005" t="n">
        <x:v>192</x:v>
      </x:c>
      <x:c r="U34" s="1005" t="n">
        <x:v>128</x:v>
      </x:c>
      <x:c r="V34" s="1007" t="n">
        <x:v>0.6666666666666666</x:v>
      </x:c>
      <x:c r="W34" s="692" t="str">
        <x:v>PASS</x:v>
      </x:c>
      <x:c r="X34" s="944" t="str">
        <x:v>/Users/blacktraker/Programming/gitproj/DV4/SuperNPUBench/outputs/matmul_other4_refresh_20261010/sweep/03_fp16/build/FP16_M288_N7392_K256_tM128_tN64_tK128/kernel/matmul/elf/kernel_matmul_matmul_shared_B1_M288_N7392_K256_tM128_tN64_tK128_DType__half.elf</x:v>
      </x:c>
      <x:c r="Y34" s="944" t="str">
        <x:v>/Users/blacktraker/Programming/gitproj/DV4/SuperNPUBench/outputs/matmul_other4_refresh_20261010/sweep/03_fp16/logs/FP16_M288_N7392_K256_tM128_tN64_tK128.gfsim.log</x:v>
      </x:c>
      <x:c r="Z34" s="944" t="str">
        <x:v>PASS；matmul_shared；ELF=/Users/blacktraker/Programming/gitproj/DV4/SuperNPUBench/outputs/matmul_other4_refresh_20261010/sweep/03_fp16/build/FP16_M288_N7392_K256_tM128_tN64_tK128/kernel/matmul/elf/kernel_matmul_matmul_shared_B1_M288_N7392_K256_tM128_tN64_tK128_DType__half.elf；gfsim log=/Users/blacktraker/Programming/gitproj/DV4/SuperNPUBench/outputs/matmul_other4_refresh_20261010/sweep/03_fp16/logs/FP16_M288_N7392_K256_tM128_tN64_tK128.gfsim.log</x:v>
      </x:c>
      <x:c r="AA34" s="944"/>
      <x:c r="AB34" s="944" t="str">
        <x:v>matmul_shared; tM=128; tN=64; tK=128</x:v>
      </x:c>
      <x:c r="AC34" s="692" t="str">
        <x:v>否</x:v>
      </x:c>
    </x:row>
    <x:row r="35" ht="31.5" customHeight="1">
      <x:c r="A35" s="977" t="str">
        <x:v>matmul (ubm)</x:v>
      </x:c>
      <x:c r="B35" s="977" t="str">
        <x:v>FP16</x:v>
      </x:c>
      <x:c r="C35" s="984" t="n">
        <x:v>288</x:v>
      </x:c>
      <x:c r="D35" s="984" t="n">
        <x:v>7392</x:v>
      </x:c>
      <x:c r="E35" s="984" t="n">
        <x:v>256</x:v>
      </x:c>
      <x:c r="F35" s="977" t="str">
        <x:v>[288,7392,256]</x:v>
      </x:c>
      <x:c r="G35" s="977" t="str">
        <x:v>B-major</x:v>
      </x:c>
      <x:c r="H35" s="977" t="str">
        <x:v>matmul_shared</x:v>
      </x:c>
      <x:c r="I35" s="984" t="n">
        <x:v>128</x:v>
      </x:c>
      <x:c r="J35" s="984" t="n">
        <x:v>64</x:v>
      </x:c>
      <x:c r="K35" s="984" t="n">
        <x:v>256</x:v>
      </x:c>
      <x:c r="L35" s="1005" t="n">
        <x:v>64</x:v>
      </x:c>
      <x:c r="M35" s="1005" t="n">
        <x:v>32</x:v>
      </x:c>
      <x:c r="N35" s="1005" t="n">
        <x:v>96</x:v>
      </x:c>
      <x:c r="O35" s="984" t="n">
        <x:v>383679</x:v>
      </x:c>
      <x:c r="P35" s="1006" t="n">
        <x:v>239.799375</x:v>
      </x:c>
      <x:c r="Q35" s="984" t="n">
        <x:v>4096</x:v>
      </x:c>
      <x:c r="R35" s="984" t="n">
        <x:v>133056</x:v>
      </x:c>
      <x:c r="S35" s="1007" t="n">
        <x:v>0.34678989467758203</x:v>
      </x:c>
      <x:c r="T35" s="1005" t="n">
        <x:v>192</x:v>
      </x:c>
      <x:c r="U35" s="1005" t="n">
        <x:v>64</x:v>
      </x:c>
      <x:c r="V35" s="1007" t="n">
        <x:v>0.6666666666666666</x:v>
      </x:c>
      <x:c r="W35" s="692" t="str">
        <x:v>PASS</x:v>
      </x:c>
      <x:c r="X35" s="944" t="str">
        <x:v>/Users/blacktraker/Programming/gitproj/DV4/SuperNPUBench/outputs/matmul_other4_refresh_20261010/sweep/03_fp16/build/FP16_M288_N7392_K256_tM128_tN64_tK256/kernel/matmul/elf/kernel_matmul_matmul_shared_B1_M288_N7392_K256_tM128_tN64_tK256_DType__half.elf</x:v>
      </x:c>
      <x:c r="Y35" s="944" t="str">
        <x:v>/Users/blacktraker/Programming/gitproj/DV4/SuperNPUBench/outputs/matmul_other4_refresh_20261010/sweep/03_fp16/logs/FP16_M288_N7392_K256_tM128_tN64_tK256.gfsim.log</x:v>
      </x:c>
      <x:c r="Z35" s="944" t="str">
        <x:v>PASS；matmul_shared；ELF=/Users/blacktraker/Programming/gitproj/DV4/SuperNPUBench/outputs/matmul_other4_refresh_20261010/sweep/03_fp16/build/FP16_M288_N7392_K256_tM128_tN64_tK256/kernel/matmul/elf/kernel_matmul_matmul_shared_B1_M288_N7392_K256_tM128_tN64_tK256_DType__half.elf；gfsim log=/Users/blacktraker/Programming/gitproj/DV4/SuperNPUBench/outputs/matmul_other4_refresh_20261010/sweep/03_fp16/logs/FP16_M288_N7392_K256_tM128_tN64_tK256.gfsim.log</x:v>
      </x:c>
      <x:c r="AA35" s="944"/>
      <x:c r="AB35" s="944" t="str">
        <x:v>matmul_shared; tM=128; tN=64; tK=256</x:v>
      </x:c>
      <x:c r="AC35" s="692" t="str">
        <x:v>否</x:v>
      </x:c>
    </x:row>
    <x:row r="36" ht="31.5" customHeight="1">
      <x:c r="A36" s="977" t="str">
        <x:v>matmul (ubm)</x:v>
      </x:c>
      <x:c r="B36" s="977" t="str">
        <x:v>FP16</x:v>
      </x:c>
      <x:c r="C36" s="984" t="n">
        <x:v>288</x:v>
      </x:c>
      <x:c r="D36" s="984" t="n">
        <x:v>7392</x:v>
      </x:c>
      <x:c r="E36" s="984" t="n">
        <x:v>256</x:v>
      </x:c>
      <x:c r="F36" s="977" t="str">
        <x:v>[288,7392,256]</x:v>
      </x:c>
      <x:c r="G36" s="977" t="str">
        <x:v>B-major</x:v>
      </x:c>
      <x:c r="H36" s="977" t="str">
        <x:v>matmul_shared</x:v>
      </x:c>
      <x:c r="I36" s="984" t="n">
        <x:v>128</x:v>
      </x:c>
      <x:c r="J36" s="984" t="n">
        <x:v>128</x:v>
      </x:c>
      <x:c r="K36" s="984" t="n">
        <x:v>64</x:v>
      </x:c>
      <x:c r="L36" s="1005" t="n">
        <x:v>16</x:v>
      </x:c>
      <x:c r="M36" s="1005" t="n">
        <x:v>16</x:v>
      </x:c>
      <x:c r="N36" s="1005" t="n">
        <x:v>32</x:v>
      </x:c>
      <x:c r="O36" s="984" t="n">
        <x:v>254615</x:v>
      </x:c>
      <x:c r="P36" s="1006" t="n">
        <x:v>159.134375</x:v>
      </x:c>
      <x:c r="Q36" s="984" t="n">
        <x:v>4096</x:v>
      </x:c>
      <x:c r="R36" s="984" t="n">
        <x:v>133056</x:v>
      </x:c>
      <x:c r="S36" s="1007" t="n">
        <x:v>0.5225772244368949</x:v>
      </x:c>
      <x:c r="T36" s="1005" t="n">
        <x:v>128</x:v>
      </x:c>
      <x:c r="U36" s="1005" t="n">
        <x:v>256</x:v>
      </x:c>
      <x:c r="V36" s="1007" t="n">
        <x:v>1</x:v>
      </x:c>
      <x:c r="W36" s="692" t="str">
        <x:v>PASS</x:v>
      </x:c>
      <x:c r="X36" s="944" t="str">
        <x:v>/Users/blacktraker/Programming/gitproj/DV4/SuperNPUBench/outputs/matmul_other4_refresh_20261010/sweep/03_fp16/build/FP16_M288_N7392_K256_tM128_tN128_tK64/kernel/matmul/elf/kernel_matmul_matmul_shared_B1_M288_N7392_K256_tM128_tN128_tK64_DType__half.elf</x:v>
      </x:c>
      <x:c r="Y36" s="944" t="str">
        <x:v>/Users/blacktraker/Programming/gitproj/DV4/SuperNPUBench/outputs/matmul_other4_refresh_20261010/sweep/03_fp16/logs/FP16_M288_N7392_K256_tM128_tN128_tK64.gfsim.log</x:v>
      </x:c>
      <x:c r="Z36" s="944" t="str">
        <x:v>PASS；matmul_shared；ELF=/Users/blacktraker/Programming/gitproj/DV4/SuperNPUBench/outputs/matmul_other4_refresh_20261010/sweep/03_fp16/build/FP16_M288_N7392_K256_tM128_tN128_tK64/kernel/matmul/elf/kernel_matmul_matmul_shared_B1_M288_N7392_K256_tM128_tN128_tK64_DType__half.elf；gfsim log=/Users/blacktraker/Programming/gitproj/DV4/SuperNPUBench/outputs/matmul_other4_refresh_20261010/sweep/03_fp16/logs/FP16_M288_N7392_K256_tM128_tN128_tK64.gfsim.log</x:v>
      </x:c>
      <x:c r="AA36" s="944"/>
      <x:c r="AB36" s="944" t="str">
        <x:v>matmul_shared; tM=128; tN=128; tK=64</x:v>
      </x:c>
      <x:c r="AC36" s="692" t="str">
        <x:v>否</x:v>
      </x:c>
    </x:row>
    <x:row r="37" ht="31.5" customHeight="1">
      <x:c r="A37" s="977" t="str">
        <x:v>matmul (ubm)</x:v>
      </x:c>
      <x:c r="B37" s="977" t="str">
        <x:v>FP16</x:v>
      </x:c>
      <x:c r="C37" s="984" t="n">
        <x:v>288</x:v>
      </x:c>
      <x:c r="D37" s="984" t="n">
        <x:v>7392</x:v>
      </x:c>
      <x:c r="E37" s="984" t="n">
        <x:v>256</x:v>
      </x:c>
      <x:c r="F37" s="977" t="str">
        <x:v>[288,7392,256]</x:v>
      </x:c>
      <x:c r="G37" s="977" t="str">
        <x:v>B-major</x:v>
      </x:c>
      <x:c r="H37" s="977" t="str">
        <x:v>matmul_shared</x:v>
      </x:c>
      <x:c r="I37" s="984" t="n">
        <x:v>128</x:v>
      </x:c>
      <x:c r="J37" s="984" t="n">
        <x:v>128</x:v>
      </x:c>
      <x:c r="K37" s="984" t="n">
        <x:v>128</x:v>
      </x:c>
      <x:c r="L37" s="1005" t="n">
        <x:v>32</x:v>
      </x:c>
      <x:c r="M37" s="1005" t="n">
        <x:v>32</x:v>
      </x:c>
      <x:c r="N37" s="1005" t="n">
        <x:v>64</x:v>
      </x:c>
      <x:c r="O37" s="984" t="n">
        <x:v>247917</x:v>
      </x:c>
      <x:c r="P37" s="1006" t="n">
        <x:v>154.948125</x:v>
      </x:c>
      <x:c r="Q37" s="984" t="n">
        <x:v>4096</x:v>
      </x:c>
      <x:c r="R37" s="984" t="n">
        <x:v>133056</x:v>
      </x:c>
      <x:c r="S37" s="1007" t="n">
        <x:v>0.5366957489805055</x:v>
      </x:c>
      <x:c r="T37" s="1005" t="n">
        <x:v>128</x:v>
      </x:c>
      <x:c r="U37" s="1005" t="n">
        <x:v>128</x:v>
      </x:c>
      <x:c r="V37" s="1007" t="n">
        <x:v>1</x:v>
      </x:c>
      <x:c r="W37" s="692" t="str">
        <x:v>PASS</x:v>
      </x:c>
      <x:c r="X37" s="944" t="str">
        <x:v>/Users/blacktraker/Programming/gitproj/DV4/SuperNPUBench/outputs/matmul_other4_refresh_20261010/sweep/03_fp16/build/FP16_M288_N7392_K256_tM128_tN128_tK128/kernel/matmul/elf/kernel_matmul_matmul_shared_B1_M288_N7392_K256_tM128_tN128_tK128_DType__half.elf</x:v>
      </x:c>
      <x:c r="Y37" s="944" t="str">
        <x:v>/Users/blacktraker/Programming/gitproj/DV4/SuperNPUBench/outputs/matmul_other4_refresh_20261010/sweep/03_fp16/logs/FP16_M288_N7392_K256_tM128_tN128_tK128.gfsim.log</x:v>
      </x:c>
      <x:c r="Z37" s="944" t="str">
        <x:v>PASS；matmul_shared；ELF=/Users/blacktraker/Programming/gitproj/DV4/SuperNPUBench/outputs/matmul_other4_refresh_20261010/sweep/03_fp16/build/FP16_M288_N7392_K256_tM128_tN128_tK128/kernel/matmul/elf/kernel_matmul_matmul_shared_B1_M288_N7392_K256_tM128_tN128_tK128_DType__half.elf；gfsim log=/Users/blacktraker/Programming/gitproj/DV4/SuperNPUBench/outputs/matmul_other4_refresh_20261010/sweep/03_fp16/logs/FP16_M288_N7392_K256_tM128_tN128_tK128.gfsim.log</x:v>
      </x:c>
      <x:c r="AA37" s="944"/>
      <x:c r="AB37" s="944" t="str">
        <x:v>matmul_shared; tM=128; tN=128; tK=128</x:v>
      </x:c>
      <x:c r="AC37" s="692" t="str">
        <x:v>否</x:v>
      </x:c>
    </x:row>
    <x:row r="38" ht="31.5" customHeight="1">
      <x:c r="A38" s="977" t="str">
        <x:v>matmul (ubm)</x:v>
      </x:c>
      <x:c r="B38" s="977" t="str">
        <x:v>FP16</x:v>
      </x:c>
      <x:c r="C38" s="984" t="n">
        <x:v>288</x:v>
      </x:c>
      <x:c r="D38" s="984" t="n">
        <x:v>7392</x:v>
      </x:c>
      <x:c r="E38" s="984" t="n">
        <x:v>256</x:v>
      </x:c>
      <x:c r="F38" s="977" t="str">
        <x:v>[288,7392,256]</x:v>
      </x:c>
      <x:c r="G38" s="977" t="str">
        <x:v>B-major</x:v>
      </x:c>
      <x:c r="H38" s="977" t="str">
        <x:v>matmul_shared</x:v>
      </x:c>
      <x:c r="I38" s="984" t="n">
        <x:v>128</x:v>
      </x:c>
      <x:c r="J38" s="984" t="n">
        <x:v>128</x:v>
      </x:c>
      <x:c r="K38" s="984" t="n">
        <x:v>256</x:v>
      </x:c>
      <x:c r="L38" s="1005" t="n">
        <x:v>64</x:v>
      </x:c>
      <x:c r="M38" s="1005" t="n">
        <x:v>64</x:v>
      </x:c>
      <x:c r="N38" s="1005" t="n">
        <x:v>128</x:v>
      </x:c>
      <x:c r="O38" s="984" t="n">
        <x:v>275304</x:v>
      </x:c>
      <x:c r="P38" s="1006" t="n">
        <x:v>172.065</x:v>
      </x:c>
      <x:c r="Q38" s="984" t="n">
        <x:v>4096</x:v>
      </x:c>
      <x:c r="R38" s="984" t="n">
        <x:v>133056</x:v>
      </x:c>
      <x:c r="S38" s="1007" t="n">
        <x:v>0.4833057274867056</x:v>
      </x:c>
      <x:c r="T38" s="1005" t="n">
        <x:v>128</x:v>
      </x:c>
      <x:c r="U38" s="1005" t="n">
        <x:v>64</x:v>
      </x:c>
      <x:c r="V38" s="1007" t="n">
        <x:v>1</x:v>
      </x:c>
      <x:c r="W38" s="692" t="str">
        <x:v>PASS</x:v>
      </x:c>
      <x:c r="X38" s="944" t="str">
        <x:v>/Users/blacktraker/Programming/gitproj/DV4/SuperNPUBench/outputs/matmul_other4_refresh_20261010/sweep/03_fp16/build/FP16_M288_N7392_K256_tM128_tN128_tK256/kernel/matmul/elf/kernel_matmul_matmul_shared_B1_M288_N7392_K256_tM128_tN128_tK256_DType__half.elf</x:v>
      </x:c>
      <x:c r="Y38" s="944" t="str">
        <x:v>/Users/blacktraker/Programming/gitproj/DV4/SuperNPUBench/outputs/matmul_other4_refresh_20261010/sweep/03_fp16/logs/FP16_M288_N7392_K256_tM128_tN128_tK256.gfsim.log</x:v>
      </x:c>
      <x:c r="Z38" s="944" t="str">
        <x:v>PASS；matmul_shared；ELF=/Users/blacktraker/Programming/gitproj/DV4/SuperNPUBench/outputs/matmul_other4_refresh_20261010/sweep/03_fp16/build/FP16_M288_N7392_K256_tM128_tN128_tK256/kernel/matmul/elf/kernel_matmul_matmul_shared_B1_M288_N7392_K256_tM128_tN128_tK256_DType__half.elf；gfsim log=/Users/blacktraker/Programming/gitproj/DV4/SuperNPUBench/outputs/matmul_other4_refresh_20261010/sweep/03_fp16/logs/FP16_M288_N7392_K256_tM128_tN128_tK256.gfsim.log</x:v>
      </x:c>
      <x:c r="AA38" s="944"/>
      <x:c r="AB38" s="944" t="str">
        <x:v>matmul_shared; tM=128; tN=128; tK=256</x:v>
      </x:c>
      <x:c r="AC38" s="692" t="str">
        <x:v>否</x:v>
      </x:c>
    </x:row>
    <x:row r="39" ht="31.5" customHeight="1">
      <x:c r="A39" s="977" t="str">
        <x:v>matmul (ubm)</x:v>
      </x:c>
      <x:c r="B39" s="977" t="str">
        <x:v>FP16</x:v>
      </x:c>
      <x:c r="C39" s="984" t="n">
        <x:v>288</x:v>
      </x:c>
      <x:c r="D39" s="984" t="n">
        <x:v>7392</x:v>
      </x:c>
      <x:c r="E39" s="984" t="n">
        <x:v>256</x:v>
      </x:c>
      <x:c r="F39" s="977" t="str">
        <x:v>[288,7392,256]</x:v>
      </x:c>
      <x:c r="G39" s="977" t="str">
        <x:v>B-major</x:v>
      </x:c>
      <x:c r="H39" s="977" t="str">
        <x:v>matmul_shared</x:v>
      </x:c>
      <x:c r="I39" s="1008" t="n">
        <x:v>128</x:v>
      </x:c>
      <x:c r="J39" s="1008" t="n">
        <x:v>256</x:v>
      </x:c>
      <x:c r="K39" s="1008" t="n">
        <x:v>64</x:v>
      </x:c>
      <x:c r="L39" s="1005" t="n">
        <x:v>16</x:v>
      </x:c>
      <x:c r="M39" s="1005" t="n">
        <x:v>32</x:v>
      </x:c>
      <x:c r="N39" s="1005" t="n">
        <x:v>48</x:v>
      </x:c>
      <x:c r="O39" s="998" t="n">
        <x:v>218744</x:v>
      </x:c>
      <x:c r="P39" s="999" t="n">
        <x:v>136.715</x:v>
      </x:c>
      <x:c r="Q39" s="998" t="n">
        <x:v>4096</x:v>
      </x:c>
      <x:c r="R39" s="998" t="n">
        <x:v>133056</x:v>
      </x:c>
      <x:c r="S39" s="1000" t="n">
        <x:v>0.6082726840507625</x:v>
      </x:c>
      <x:c r="T39" s="1005" t="n">
        <x:v>96</x:v>
      </x:c>
      <x:c r="U39" s="1005" t="n">
        <x:v>256</x:v>
      </x:c>
      <x:c r="V39" s="1007" t="n">
        <x:v>1</x:v>
      </x:c>
      <x:c r="W39" s="692" t="str">
        <x:v>PASS</x:v>
      </x:c>
      <x:c r="X39" s="944" t="str">
        <x:v>/Users/blacktraker/Programming/gitproj/DV4/SuperNPUBench/outputs/matmul_other4_refresh_20261010/sweep/03_fp16/build/FP16_M288_N7392_K256_tM128_tN256_tK64/kernel/matmul/elf/kernel_matmul_matmul_shared_B1_M288_N7392_K256_tM128_tN256_tK64_DType__half.elf</x:v>
      </x:c>
      <x:c r="Y39" s="944" t="str">
        <x:v>/Users/blacktraker/Programming/gitproj/DV4/SuperNPUBench/outputs/matmul_other4_refresh_20261010/sweep/03_fp16/logs/FP16_M288_N7392_K256_tM128_tN256_tK64.gfsim.log</x:v>
      </x:c>
      <x:c r="Z39" s="944" t="str">
        <x:v>PASS；matmul_shared；ELF=/Users/blacktraker/Programming/gitproj/DV4/SuperNPUBench/outputs/matmul_other4_refresh_20261010/sweep/03_fp16/build/FP16_M288_N7392_K256_tM128_tN256_tK64/kernel/matmul/elf/kernel_matmul_matmul_shared_B1_M288_N7392_K256_tM128_tN256_tK64_DType__half.elf；gfsim log=/Users/blacktraker/Programming/gitproj/DV4/SuperNPUBench/outputs/matmul_other4_refresh_20261010/sweep/03_fp16/logs/FP16_M288_N7392_K256_tM128_tN256_tK64.gfsim.log</x:v>
      </x:c>
      <x:c r="AA39" s="944"/>
      <x:c r="AB39" s="944" t="str">
        <x:v>matmul_shared; tM=128; tN=256; tK=64</x:v>
      </x:c>
      <x:c r="AC39" s="968" t="str">
        <x:v>是</x:v>
      </x:c>
    </x:row>
    <x:row r="40" ht="31.5" customHeight="1">
      <x:c r="A40" s="977" t="str">
        <x:v>matmul (ubm)</x:v>
      </x:c>
      <x:c r="B40" s="977" t="str">
        <x:v>FP16</x:v>
      </x:c>
      <x:c r="C40" s="984" t="n">
        <x:v>288</x:v>
      </x:c>
      <x:c r="D40" s="984" t="n">
        <x:v>7392</x:v>
      </x:c>
      <x:c r="E40" s="984" t="n">
        <x:v>256</x:v>
      </x:c>
      <x:c r="F40" s="977" t="str">
        <x:v>[288,7392,256]</x:v>
      </x:c>
      <x:c r="G40" s="977" t="str">
        <x:v>B-major</x:v>
      </x:c>
      <x:c r="H40" s="977" t="str">
        <x:v>matmul_shared</x:v>
      </x:c>
      <x:c r="I40" s="984" t="n">
        <x:v>128</x:v>
      </x:c>
      <x:c r="J40" s="984" t="n">
        <x:v>256</x:v>
      </x:c>
      <x:c r="K40" s="984" t="n">
        <x:v>128</x:v>
      </x:c>
      <x:c r="L40" s="1005" t="n">
        <x:v>32</x:v>
      </x:c>
      <x:c r="M40" s="1005" t="n">
        <x:v>64</x:v>
      </x:c>
      <x:c r="N40" s="1005" t="n">
        <x:v>96</x:v>
      </x:c>
      <x:c r="O40" s="984"/>
      <x:c r="P40" s="1006"/>
      <x:c r="Q40" s="984" t="n">
        <x:v>4096</x:v>
      </x:c>
      <x:c r="R40" s="984" t="n">
        <x:v>133056</x:v>
      </x:c>
      <x:c r="S40" s="1007"/>
      <x:c r="T40" s="1005"/>
      <x:c r="U40" s="1005"/>
      <x:c r="V40" s="1007"/>
      <x:c r="W40" s="969" t="str">
        <x:v>ASSERT_FAIL</x:v>
      </x:c>
      <x:c r="X40" s="944" t="str">
        <x:v>/Users/blacktraker/Programming/gitproj/DV4/SuperNPUBench/outputs/matmul_other4_refresh_20261010/sweep/03_fp16/build/FP16_M288_N7392_K256_tM128_tN256_tK128/kernel/matmul/elf/kernel_matmul_matmul_shared_B1_M288_N7392_K256_tM128_tN256_tK128_DType__half.elf</x:v>
      </x:c>
      <x:c r="Y40" s="944" t="str">
        <x:v>/Users/blacktraker/Programming/gitproj/DV4/SuperNPUBench/outputs/matmul_other4_refresh_20261010/sweep/03_fp16/logs/FP16_M288_N7392_K256_tM128_tN256_tK128.gfsim.log</x:v>
      </x:c>
      <x:c r="Z40" s="944" t="str">
        <x:v>ASSERT_FAIL；matmul_shared；ELF=/Users/blacktraker/Programming/gitproj/DV4/SuperNPUBench/outputs/matmul_other4_refresh_20261010/sweep/03_fp16/build/FP16_M288_N7392_K256_tM128_tN256_tK128/kernel/matmul/elf/kernel_matmul_matmul_shared_B1_M288_N7392_K256_tM128_tN256_tK128_DType__half.elf；gfsim log=/Users/blacktraker/Programming/gitproj/DV4/SuperNPUBench/outputs/matmul_other4_refresh_20261010/sweep/03_fp16/logs/FP16_M288_N7392_K256_tM128_tN256_tK128.gfsim.log</x:v>
      </x:c>
      <x:c r="AA40" s="944"/>
      <x:c r="AB40" s="944" t="str">
        <x:v>matmul_shared; tM=128; tN=256; tK=128</x:v>
      </x:c>
      <x:c r="AC40" s="692" t="str">
        <x:v>否</x:v>
      </x:c>
    </x:row>
    <x:row r="41" ht="31.5" customHeight="1">
      <x:c r="A41" s="977" t="str">
        <x:v>matmul (ubm)</x:v>
      </x:c>
      <x:c r="B41" s="977" t="str">
        <x:v>FP16</x:v>
      </x:c>
      <x:c r="C41" s="984" t="n">
        <x:v>288</x:v>
      </x:c>
      <x:c r="D41" s="984" t="n">
        <x:v>7392</x:v>
      </x:c>
      <x:c r="E41" s="984" t="n">
        <x:v>256</x:v>
      </x:c>
      <x:c r="F41" s="977" t="str">
        <x:v>[288,7392,256]</x:v>
      </x:c>
      <x:c r="G41" s="977" t="str">
        <x:v>B-major</x:v>
      </x:c>
      <x:c r="H41" s="977" t="str">
        <x:v>matmul_shared</x:v>
      </x:c>
      <x:c r="I41" s="984" t="n">
        <x:v>128</x:v>
      </x:c>
      <x:c r="J41" s="984" t="n">
        <x:v>256</x:v>
      </x:c>
      <x:c r="K41" s="984" t="n">
        <x:v>256</x:v>
      </x:c>
      <x:c r="L41" s="1005" t="n">
        <x:v>64</x:v>
      </x:c>
      <x:c r="M41" s="1005" t="n">
        <x:v>128</x:v>
      </x:c>
      <x:c r="N41" s="1005" t="n">
        <x:v>192</x:v>
      </x:c>
      <x:c r="O41" s="984"/>
      <x:c r="P41" s="1006"/>
      <x:c r="Q41" s="984" t="n">
        <x:v>4096</x:v>
      </x:c>
      <x:c r="R41" s="984" t="n">
        <x:v>133056</x:v>
      </x:c>
      <x:c r="S41" s="1007"/>
      <x:c r="T41" s="1005"/>
      <x:c r="U41" s="1005"/>
      <x:c r="V41" s="1007"/>
      <x:c r="W41" s="969" t="str">
        <x:v>ASSERT_FAIL</x:v>
      </x:c>
      <x:c r="X41" s="944" t="str">
        <x:v>/Users/blacktraker/Programming/gitproj/DV4/SuperNPUBench/outputs/matmul_other4_refresh_20261010/sweep/03_fp16/build/FP16_M288_N7392_K256_tM128_tN256_tK256/kernel/matmul/elf/kernel_matmul_matmul_shared_B1_M288_N7392_K256_tM128_tN256_tK256_DType__half.elf</x:v>
      </x:c>
      <x:c r="Y41" s="944" t="str">
        <x:v>/Users/blacktraker/Programming/gitproj/DV4/SuperNPUBench/outputs/matmul_other4_refresh_20261010/sweep/03_fp16/logs/FP16_M288_N7392_K256_tM128_tN256_tK256.gfsim.log</x:v>
      </x:c>
      <x:c r="Z41" s="944" t="str">
        <x:v>ASSERT_FAIL；matmul_shared；ELF=/Users/blacktraker/Programming/gitproj/DV4/SuperNPUBench/outputs/matmul_other4_refresh_20261010/sweep/03_fp16/build/FP16_M288_N7392_K256_tM128_tN256_tK256/kernel/matmul/elf/kernel_matmul_matmul_shared_B1_M288_N7392_K256_tM128_tN256_tK256_DType__half.elf；gfsim log=/Users/blacktraker/Programming/gitproj/DV4/SuperNPUBench/outputs/matmul_other4_refresh_20261010/sweep/03_fp16/logs/FP16_M288_N7392_K256_tM128_tN256_tK256.gfsim.log</x:v>
      </x:c>
      <x:c r="AA41" s="944"/>
      <x:c r="AB41" s="944" t="str">
        <x:v>matmul_shared; tM=128; tN=256; tK=256</x:v>
      </x:c>
      <x:c r="AC41" s="692" t="str">
        <x:v>否</x:v>
      </x:c>
    </x:row>
    <x:row r="42" ht="31.5" customHeight="1">
      <x:c r="A42" s="977" t="str">
        <x:v>matmul (ubm)</x:v>
      </x:c>
      <x:c r="B42" s="977" t="str">
        <x:v>FP16</x:v>
      </x:c>
      <x:c r="C42" s="984" t="n">
        <x:v>288</x:v>
      </x:c>
      <x:c r="D42" s="984" t="n">
        <x:v>7392</x:v>
      </x:c>
      <x:c r="E42" s="984" t="n">
        <x:v>256</x:v>
      </x:c>
      <x:c r="F42" s="977" t="str">
        <x:v>[288,7392,256]</x:v>
      </x:c>
      <x:c r="G42" s="977" t="str">
        <x:v>B-major</x:v>
      </x:c>
      <x:c r="H42" s="977" t="str">
        <x:v>matmul_reuseA</x:v>
      </x:c>
      <x:c r="I42" s="984" t="n">
        <x:v>128</x:v>
      </x:c>
      <x:c r="J42" s="984" t="n">
        <x:v>64</x:v>
      </x:c>
      <x:c r="K42" s="984" t="n">
        <x:v>64</x:v>
      </x:c>
      <x:c r="L42" s="1005" t="n">
        <x:v>4</x:v>
      </x:c>
      <x:c r="M42" s="1005" t="n">
        <x:v>8</x:v>
      </x:c>
      <x:c r="N42" s="1005" t="n">
        <x:v>8</x:v>
      </x:c>
      <x:c r="O42" s="984" t="n">
        <x:v>247722</x:v>
      </x:c>
      <x:c r="P42" s="1006" t="n">
        <x:v>154.82625</x:v>
      </x:c>
      <x:c r="Q42" s="984" t="n">
        <x:v>4096</x:v>
      </x:c>
      <x:c r="R42" s="984" t="n">
        <x:v>133056</x:v>
      </x:c>
      <x:c r="S42" s="1007" t="n">
        <x:v>0.5371182212318647</x:v>
      </x:c>
      <x:c r="T42" s="1005" t="n">
        <x:v>64</x:v>
      </x:c>
      <x:c r="U42" s="1005" t="n">
        <x:v>256</x:v>
      </x:c>
      <x:c r="V42" s="1007" t="n">
        <x:v>1</x:v>
      </x:c>
      <x:c r="W42" s="692" t="str">
        <x:v>PASS</x:v>
      </x:c>
      <x:c r="X42" s="944" t="str">
        <x:v>/Users/blacktraker/Programming/gitproj/DV4/SuperNPUBench/outputs/matmul_reuseA_other_shapes_20261010/sweep_fp16_m288_n7392_k256/build/FP16_M288_N7392_K256_tM128_tN64_tK64/kernel/matmul/elf/kernel_matmul_matmul_reuseA_B1_M288_N7392_K256_tM128_tN64_tK64_DType__half.elf</x:v>
      </x:c>
      <x:c r="Y42" s="944" t="str">
        <x:v>/Users/blacktraker/Programming/gitproj/DV4/SuperNPUBench/outputs/matmul_reuseA_other_shapes_20261010/sweep_fp16_m288_n7392_k256/logs/FP16_M288_N7392_K256_tM128_tN64_tK64.gfsim.log</x:v>
      </x:c>
      <x:c r="Z42" s="944" t="str">
        <x:v>PASS；matmul_reuseA；valid_row/valid_col 尾块处理；ELF=/Users/blacktraker/Programming/gitproj/DV4/SuperNPUBench/outputs/matmul_reuseA_other_shapes_20261010/sweep_fp16_m288_n7392_k256/build/FP16_M288_N7392_K256_tM128_tN64_tK64/kernel/matmul/elf/kernel_matmul_matmul_reuseA_B1_M288_N7392_K256_tM128_tN64_tK64_DType__half.elf；gfsim log=/Users/blacktraker/Programming/gitproj/DV4/SuperNPUBench/outputs/matmul_reuseA_other_shapes_20261010/sweep_fp16_m288_n7392_k256/logs/FP16_M288_N7392_K256_tM128_tN64_tK64.gfsim.log；source=/Users/blacktraker/Programming/gitproj/DV4/SuperNPUBench/benchmark/one-level-arch/kernels/basic_op/matmul/matmul_reuseA.hpp</x:v>
      </x:c>
      <x:c r="AA42" s="944"/>
      <x:c r="AB42" s="944" t="str">
        <x:v>matmul_reuseA; tM=128; tN=64; tK=64; tail=valid_row/valid_col</x:v>
      </x:c>
      <x:c r="AC42" s="692" t="str">
        <x:v>否</x:v>
      </x:c>
    </x:row>
    <x:row r="43" ht="31.5" customHeight="1">
      <x:c r="A43" s="977" t="str">
        <x:v>matmul (ubm)</x:v>
      </x:c>
      <x:c r="B43" s="977" t="str">
        <x:v>FP16</x:v>
      </x:c>
      <x:c r="C43" s="984" t="n">
        <x:v>288</x:v>
      </x:c>
      <x:c r="D43" s="984" t="n">
        <x:v>7392</x:v>
      </x:c>
      <x:c r="E43" s="984" t="n">
        <x:v>256</x:v>
      </x:c>
      <x:c r="F43" s="977" t="str">
        <x:v>[288,7392,256]</x:v>
      </x:c>
      <x:c r="G43" s="977" t="str">
        <x:v>B-major</x:v>
      </x:c>
      <x:c r="H43" s="977" t="str">
        <x:v>matmul_reuseA</x:v>
      </x:c>
      <x:c r="I43" s="984" t="n">
        <x:v>128</x:v>
      </x:c>
      <x:c r="J43" s="984" t="n">
        <x:v>64</x:v>
      </x:c>
      <x:c r="K43" s="984" t="n">
        <x:v>128</x:v>
      </x:c>
      <x:c r="L43" s="1005" t="n">
        <x:v>8</x:v>
      </x:c>
      <x:c r="M43" s="1005" t="n">
        <x:v>16</x:v>
      </x:c>
      <x:c r="N43" s="1005" t="n">
        <x:v>16</x:v>
      </x:c>
      <x:c r="O43" s="984" t="n">
        <x:v>208084</x:v>
      </x:c>
      <x:c r="P43" s="1006" t="n">
        <x:v>130.0525</x:v>
      </x:c>
      <x:c r="Q43" s="984" t="n">
        <x:v>4096</x:v>
      </x:c>
      <x:c r="R43" s="984" t="n">
        <x:v>133056</x:v>
      </x:c>
      <x:c r="S43" s="1007" t="n">
        <x:v>0.6394340747006017</x:v>
      </x:c>
      <x:c r="T43" s="1005" t="n">
        <x:v>64</x:v>
      </x:c>
      <x:c r="U43" s="1005" t="n">
        <x:v>128</x:v>
      </x:c>
      <x:c r="V43" s="1007" t="n">
        <x:v>1</x:v>
      </x:c>
      <x:c r="W43" s="692" t="str">
        <x:v>PASS</x:v>
      </x:c>
      <x:c r="X43" s="944" t="str">
        <x:v>/Users/blacktraker/Programming/gitproj/DV4/SuperNPUBench/outputs/matmul_reuseA_other_shapes_20261010/sweep_fp16_m288_n7392_k256/build/FP16_M288_N7392_K256_tM128_tN64_tK128/kernel/matmul/elf/kernel_matmul_matmul_reuseA_B1_M288_N7392_K256_tM128_tN64_tK128_DType__half.elf</x:v>
      </x:c>
      <x:c r="Y43" s="944" t="str">
        <x:v>/Users/blacktraker/Programming/gitproj/DV4/SuperNPUBench/outputs/matmul_reuseA_other_shapes_20261010/sweep_fp16_m288_n7392_k256/logs/FP16_M288_N7392_K256_tM128_tN64_tK128.gfsim.log</x:v>
      </x:c>
      <x:c r="Z43" s="944" t="str">
        <x:v>PASS；matmul_reuseA；valid_row/valid_col 尾块处理；ELF=/Users/blacktraker/Programming/gitproj/DV4/SuperNPUBench/outputs/matmul_reuseA_other_shapes_20261010/sweep_fp16_m288_n7392_k256/build/FP16_M288_N7392_K256_tM128_tN64_tK128/kernel/matmul/elf/kernel_matmul_matmul_reuseA_B1_M288_N7392_K256_tM128_tN64_tK128_DType__half.elf；gfsim log=/Users/blacktraker/Programming/gitproj/DV4/SuperNPUBench/outputs/matmul_reuseA_other_shapes_20261010/sweep_fp16_m288_n7392_k256/logs/FP16_M288_N7392_K256_tM128_tN64_tK128.gfsim.log；source=/Users/blacktraker/Programming/gitproj/DV4/SuperNPUBench/benchmark/one-level-arch/kernels/basic_op/matmul/matmul_reuseA.hpp</x:v>
      </x:c>
      <x:c r="AA43" s="944"/>
      <x:c r="AB43" s="944" t="str">
        <x:v>matmul_reuseA; tM=128; tN=64; tK=128; tail=valid_row/valid_col</x:v>
      </x:c>
      <x:c r="AC43" s="692" t="str">
        <x:v>否</x:v>
      </x:c>
    </x:row>
    <x:row r="44" ht="31.5" customHeight="1">
      <x:c r="A44" s="977" t="str">
        <x:v>matmul (ubm)</x:v>
      </x:c>
      <x:c r="B44" s="977" t="str">
        <x:v>FP16</x:v>
      </x:c>
      <x:c r="C44" s="984" t="n">
        <x:v>288</x:v>
      </x:c>
      <x:c r="D44" s="984" t="n">
        <x:v>7392</x:v>
      </x:c>
      <x:c r="E44" s="984" t="n">
        <x:v>256</x:v>
      </x:c>
      <x:c r="F44" s="977" t="str">
        <x:v>[288,7392,256]</x:v>
      </x:c>
      <x:c r="G44" s="977" t="str">
        <x:v>B-major</x:v>
      </x:c>
      <x:c r="H44" s="977" t="str">
        <x:v>matmul_reuseA</x:v>
      </x:c>
      <x:c r="I44" s="984" t="n">
        <x:v>128</x:v>
      </x:c>
      <x:c r="J44" s="984" t="n">
        <x:v>64</x:v>
      </x:c>
      <x:c r="K44" s="984" t="n">
        <x:v>256</x:v>
      </x:c>
      <x:c r="L44" s="1005" t="n">
        <x:v>16</x:v>
      </x:c>
      <x:c r="M44" s="1005" t="n">
        <x:v>32</x:v>
      </x:c>
      <x:c r="N44" s="1005" t="n">
        <x:v>32</x:v>
      </x:c>
      <x:c r="O44" s="984" t="n">
        <x:v>205540</x:v>
      </x:c>
      <x:c r="P44" s="1006" t="n">
        <x:v>128.4625</x:v>
      </x:c>
      <x:c r="Q44" s="984" t="n">
        <x:v>4096</x:v>
      </x:c>
      <x:c r="R44" s="984" t="n">
        <x:v>133056</x:v>
      </x:c>
      <x:c r="S44" s="1007" t="n">
        <x:v>0.6473484479906587</x:v>
      </x:c>
      <x:c r="T44" s="1005" t="n">
        <x:v>64</x:v>
      </x:c>
      <x:c r="U44" s="1005" t="n">
        <x:v>64</x:v>
      </x:c>
      <x:c r="V44" s="1007" t="n">
        <x:v>1</x:v>
      </x:c>
      <x:c r="W44" s="692" t="str">
        <x:v>PASS</x:v>
      </x:c>
      <x:c r="X44" s="944" t="str">
        <x:v>/Users/blacktraker/Programming/gitproj/DV4/SuperNPUBench/outputs/matmul_reuseA_other_shapes_20261010/sweep_fp16_m288_n7392_k256/build/FP16_M288_N7392_K256_tM128_tN64_tK256/kernel/matmul/elf/kernel_matmul_matmul_reuseA_B1_M288_N7392_K256_tM128_tN64_tK256_DType__half.elf</x:v>
      </x:c>
      <x:c r="Y44" s="944" t="str">
        <x:v>/Users/blacktraker/Programming/gitproj/DV4/SuperNPUBench/outputs/matmul_reuseA_other_shapes_20261010/sweep_fp16_m288_n7392_k256/logs/FP16_M288_N7392_K256_tM128_tN64_tK256.gfsim.log</x:v>
      </x:c>
      <x:c r="Z44" s="944" t="str">
        <x:v>PASS；matmul_reuseA；valid_row/valid_col 尾块处理；ELF=/Users/blacktraker/Programming/gitproj/DV4/SuperNPUBench/outputs/matmul_reuseA_other_shapes_20261010/sweep_fp16_m288_n7392_k256/build/FP16_M288_N7392_K256_tM128_tN64_tK256/kernel/matmul/elf/kernel_matmul_matmul_reuseA_B1_M288_N7392_K256_tM128_tN64_tK256_DType__half.elf；gfsim log=/Users/blacktraker/Programming/gitproj/DV4/SuperNPUBench/outputs/matmul_reuseA_other_shapes_20261010/sweep_fp16_m288_n7392_k256/logs/FP16_M288_N7392_K256_tM128_tN64_tK256.gfsim.log；source=/Users/blacktraker/Programming/gitproj/DV4/SuperNPUBench/benchmark/one-level-arch/kernels/basic_op/matmul/matmul_reuseA.hpp</x:v>
      </x:c>
      <x:c r="AA44" s="944"/>
      <x:c r="AB44" s="944" t="str">
        <x:v>matmul_reuseA; tM=128; tN=64; tK=256; tail=valid_row/valid_col</x:v>
      </x:c>
      <x:c r="AC44" s="692" t="str">
        <x:v>否</x:v>
      </x:c>
    </x:row>
    <x:row r="45" ht="31.5" customHeight="1">
      <x:c r="A45" s="977" t="str">
        <x:v>matmul (ubm)</x:v>
      </x:c>
      <x:c r="B45" s="977" t="str">
        <x:v>FP16</x:v>
      </x:c>
      <x:c r="C45" s="984" t="n">
        <x:v>288</x:v>
      </x:c>
      <x:c r="D45" s="984" t="n">
        <x:v>7392</x:v>
      </x:c>
      <x:c r="E45" s="984" t="n">
        <x:v>256</x:v>
      </x:c>
      <x:c r="F45" s="977" t="str">
        <x:v>[288,7392,256]</x:v>
      </x:c>
      <x:c r="G45" s="977" t="str">
        <x:v>B-major</x:v>
      </x:c>
      <x:c r="H45" s="977" t="str">
        <x:v>matmul_reuseA</x:v>
      </x:c>
      <x:c r="I45" s="984" t="n">
        <x:v>128</x:v>
      </x:c>
      <x:c r="J45" s="984" t="n">
        <x:v>128</x:v>
      </x:c>
      <x:c r="K45" s="984" t="n">
        <x:v>64</x:v>
      </x:c>
      <x:c r="L45" s="1005" t="n">
        <x:v>4</x:v>
      </x:c>
      <x:c r="M45" s="1005" t="n">
        <x:v>16</x:v>
      </x:c>
      <x:c r="N45" s="1005" t="n">
        <x:v>16</x:v>
      </x:c>
      <x:c r="O45" s="984" t="n">
        <x:v>207364</x:v>
      </x:c>
      <x:c r="P45" s="1006" t="n">
        <x:v>129.6025</x:v>
      </x:c>
      <x:c r="Q45" s="984" t="n">
        <x:v>4096</x:v>
      </x:c>
      <x:c r="R45" s="984" t="n">
        <x:v>133056</x:v>
      </x:c>
      <x:c r="S45" s="1007" t="n">
        <x:v>0.6416542890762138</x:v>
      </x:c>
      <x:c r="T45" s="1005" t="n">
        <x:v>64</x:v>
      </x:c>
      <x:c r="U45" s="1005" t="n">
        <x:v>256</x:v>
      </x:c>
      <x:c r="V45" s="1007" t="n">
        <x:v>1</x:v>
      </x:c>
      <x:c r="W45" s="692" t="str">
        <x:v>PASS</x:v>
      </x:c>
      <x:c r="X45" s="944" t="str">
        <x:v>/Users/blacktraker/Programming/gitproj/DV4/SuperNPUBench/outputs/matmul_reuseA_other_shapes_20261010/sweep_fp16_m288_n7392_k256/build/FP16_M288_N7392_K256_tM128_tN128_tK64/kernel/matmul/elf/kernel_matmul_matmul_reuseA_B1_M288_N7392_K256_tM128_tN128_tK64_DType__half.elf</x:v>
      </x:c>
      <x:c r="Y45" s="944" t="str">
        <x:v>/Users/blacktraker/Programming/gitproj/DV4/SuperNPUBench/outputs/matmul_reuseA_other_shapes_20261010/sweep_fp16_m288_n7392_k256/logs/FP16_M288_N7392_K256_tM128_tN128_tK64.gfsim.log</x:v>
      </x:c>
      <x:c r="Z45" s="944" t="str">
        <x:v>PASS；matmul_reuseA；valid_row/valid_col 尾块处理；ELF=/Users/blacktraker/Programming/gitproj/DV4/SuperNPUBench/outputs/matmul_reuseA_other_shapes_20261010/sweep_fp16_m288_n7392_k256/build/FP16_M288_N7392_K256_tM128_tN128_tK64/kernel/matmul/elf/kernel_matmul_matmul_reuseA_B1_M288_N7392_K256_tM128_tN128_tK64_DType__half.elf；gfsim log=/Users/blacktraker/Programming/gitproj/DV4/SuperNPUBench/outputs/matmul_reuseA_other_shapes_20261010/sweep_fp16_m288_n7392_k256/logs/FP16_M288_N7392_K256_tM128_tN128_tK64.gfsim.log；source=/Users/blacktraker/Programming/gitproj/DV4/SuperNPUBench/benchmark/one-level-arch/kernels/basic_op/matmul/matmul_reuseA.hpp</x:v>
      </x:c>
      <x:c r="AA45" s="944"/>
      <x:c r="AB45" s="944" t="str">
        <x:v>matmul_reuseA; tM=128; tN=128; tK=64; tail=valid_row/valid_col</x:v>
      </x:c>
      <x:c r="AC45" s="692" t="str">
        <x:v>否</x:v>
      </x:c>
    </x:row>
    <x:row r="46" ht="31.5" customHeight="1">
      <x:c r="A46" s="977" t="str">
        <x:v>matmul (ubm)</x:v>
      </x:c>
      <x:c r="B46" s="977" t="str">
        <x:v>FP16</x:v>
      </x:c>
      <x:c r="C46" s="984" t="n">
        <x:v>288</x:v>
      </x:c>
      <x:c r="D46" s="984" t="n">
        <x:v>7392</x:v>
      </x:c>
      <x:c r="E46" s="984" t="n">
        <x:v>256</x:v>
      </x:c>
      <x:c r="F46" s="977" t="str">
        <x:v>[288,7392,256]</x:v>
      </x:c>
      <x:c r="G46" s="977" t="str">
        <x:v>B-major</x:v>
      </x:c>
      <x:c r="H46" s="977" t="str">
        <x:v>matmul_reuseA</x:v>
      </x:c>
      <x:c r="I46" s="1008" t="n">
        <x:v>128</x:v>
      </x:c>
      <x:c r="J46" s="1008" t="n">
        <x:v>128</x:v>
      </x:c>
      <x:c r="K46" s="1008" t="n">
        <x:v>128</x:v>
      </x:c>
      <x:c r="L46" s="1005" t="n">
        <x:v>8</x:v>
      </x:c>
      <x:c r="M46" s="1005" t="n">
        <x:v>32</x:v>
      </x:c>
      <x:c r="N46" s="1005" t="n">
        <x:v>32</x:v>
      </x:c>
      <x:c r="O46" s="998" t="n">
        <x:v>175260</x:v>
      </x:c>
      <x:c r="P46" s="999" t="n">
        <x:v>109.5375</x:v>
      </x:c>
      <x:c r="Q46" s="998" t="n">
        <x:v>4096</x:v>
      </x:c>
      <x:c r="R46" s="998" t="n">
        <x:v>133056</x:v>
      </x:c>
      <x:c r="S46" s="1000" t="n">
        <x:v>0.7591920575145498</x:v>
      </x:c>
      <x:c r="T46" s="1005" t="n">
        <x:v>64</x:v>
      </x:c>
      <x:c r="U46" s="1005" t="n">
        <x:v>128</x:v>
      </x:c>
      <x:c r="V46" s="1007" t="n">
        <x:v>1</x:v>
      </x:c>
      <x:c r="W46" s="692" t="str">
        <x:v>PASS</x:v>
      </x:c>
      <x:c r="X46" s="944" t="str">
        <x:v>/Users/blacktraker/Programming/gitproj/DV4/SuperNPUBench/outputs/matmul_reuseA_other_shapes_20261010/sweep_fp16_m288_n7392_k256/build/FP16_M288_N7392_K256_tM128_tN128_tK128/kernel/matmul/elf/kernel_matmul_matmul_reuseA_B1_M288_N7392_K256_tM128_tN128_tK128_DType__half.elf</x:v>
      </x:c>
      <x:c r="Y46" s="944" t="str">
        <x:v>/Users/blacktraker/Programming/gitproj/DV4/SuperNPUBench/outputs/matmul_reuseA_other_shapes_20261010/sweep_fp16_m288_n7392_k256/logs/FP16_M288_N7392_K256_tM128_tN128_tK128.gfsim.log</x:v>
      </x:c>
      <x:c r="Z46" s="944" t="str">
        <x:v>PASS；matmul_reuseA；valid_row/valid_col 尾块处理；ELF=/Users/blacktraker/Programming/gitproj/DV4/SuperNPUBench/outputs/matmul_reuseA_other_shapes_20261010/sweep_fp16_m288_n7392_k256/build/FP16_M288_N7392_K256_tM128_tN128_tK128/kernel/matmul/elf/kernel_matmul_matmul_reuseA_B1_M288_N7392_K256_tM128_tN128_tK128_DType__half.elf；gfsim log=/Users/blacktraker/Programming/gitproj/DV4/SuperNPUBench/outputs/matmul_reuseA_other_shapes_20261010/sweep_fp16_m288_n7392_k256/logs/FP16_M288_N7392_K256_tM128_tN128_tK128.gfsim.log；source=/Users/blacktraker/Programming/gitproj/DV4/SuperNPUBench/benchmark/one-level-arch/kernels/basic_op/matmul/matmul_reuseA.hpp</x:v>
      </x:c>
      <x:c r="AA46" s="944"/>
      <x:c r="AB46" s="944" t="str">
        <x:v>matmul_reuseA; tM=128; tN=128; tK=128; tail=valid_row/valid_col</x:v>
      </x:c>
      <x:c r="AC46" s="968" t="str">
        <x:v>是</x:v>
      </x:c>
    </x:row>
    <x:row r="47" ht="31.5" customHeight="1">
      <x:c r="A47" s="977" t="str">
        <x:v>matmul (ubm)</x:v>
      </x:c>
      <x:c r="B47" s="977" t="str">
        <x:v>FP16</x:v>
      </x:c>
      <x:c r="C47" s="984" t="n">
        <x:v>288</x:v>
      </x:c>
      <x:c r="D47" s="984" t="n">
        <x:v>7392</x:v>
      </x:c>
      <x:c r="E47" s="984" t="n">
        <x:v>256</x:v>
      </x:c>
      <x:c r="F47" s="977" t="str">
        <x:v>[288,7392,256]</x:v>
      </x:c>
      <x:c r="G47" s="977" t="str">
        <x:v>B-major</x:v>
      </x:c>
      <x:c r="H47" s="977" t="str">
        <x:v>matmul_reuseA</x:v>
      </x:c>
      <x:c r="I47" s="984" t="n">
        <x:v>128</x:v>
      </x:c>
      <x:c r="J47" s="984" t="n">
        <x:v>128</x:v>
      </x:c>
      <x:c r="K47" s="984" t="n">
        <x:v>256</x:v>
      </x:c>
      <x:c r="L47" s="1005" t="n">
        <x:v>16</x:v>
      </x:c>
      <x:c r="M47" s="1005" t="n">
        <x:v>64</x:v>
      </x:c>
      <x:c r="N47" s="1005" t="n">
        <x:v>64</x:v>
      </x:c>
      <x:c r="O47" s="984" t="n">
        <x:v>179455</x:v>
      </x:c>
      <x:c r="P47" s="1006" t="n">
        <x:v>112.159375</x:v>
      </x:c>
      <x:c r="Q47" s="984" t="n">
        <x:v>4096</x:v>
      </x:c>
      <x:c r="R47" s="984" t="n">
        <x:v>133056</x:v>
      </x:c>
      <x:c r="S47" s="1007" t="n">
        <x:v>0.7414449304839653</x:v>
      </x:c>
      <x:c r="T47" s="1005" t="n">
        <x:v>64</x:v>
      </x:c>
      <x:c r="U47" s="1005" t="n">
        <x:v>64</x:v>
      </x:c>
      <x:c r="V47" s="1007" t="n">
        <x:v>1</x:v>
      </x:c>
      <x:c r="W47" s="692" t="str">
        <x:v>PASS</x:v>
      </x:c>
      <x:c r="X47" s="944" t="str">
        <x:v>/Users/blacktraker/Programming/gitproj/DV4/SuperNPUBench/outputs/matmul_reuseA_other_shapes_20261010/sweep_fp16_m288_n7392_k256/build/FP16_M288_N7392_K256_tM128_tN128_tK256/kernel/matmul/elf/kernel_matmul_matmul_reuseA_B1_M288_N7392_K256_tM128_tN128_tK256_DType__half.elf</x:v>
      </x:c>
      <x:c r="Y47" s="944" t="str">
        <x:v>/Users/blacktraker/Programming/gitproj/DV4/SuperNPUBench/outputs/matmul_reuseA_other_shapes_20261010/sweep_fp16_m288_n7392_k256/logs/FP16_M288_N7392_K256_tM128_tN128_tK256.gfsim.log</x:v>
      </x:c>
      <x:c r="Z47" s="944" t="str">
        <x:v>PASS；matmul_reuseA；valid_row/valid_col 尾块处理；ELF=/Users/blacktraker/Programming/gitproj/DV4/SuperNPUBench/outputs/matmul_reuseA_other_shapes_20261010/sweep_fp16_m288_n7392_k256/build/FP16_M288_N7392_K256_tM128_tN128_tK256/kernel/matmul/elf/kernel_matmul_matmul_reuseA_B1_M288_N7392_K256_tM128_tN128_tK256_DType__half.elf；gfsim log=/Users/blacktraker/Programming/gitproj/DV4/SuperNPUBench/outputs/matmul_reuseA_other_shapes_20261010/sweep_fp16_m288_n7392_k256/logs/FP16_M288_N7392_K256_tM128_tN128_tK256.gfsim.log；source=/Users/blacktraker/Programming/gitproj/DV4/SuperNPUBench/benchmark/one-level-arch/kernels/basic_op/matmul/matmul_reuseA.hpp</x:v>
      </x:c>
      <x:c r="AA47" s="944"/>
      <x:c r="AB47" s="944" t="str">
        <x:v>matmul_reuseA; tM=128; tN=128; tK=256; tail=valid_row/valid_col</x:v>
      </x:c>
      <x:c r="AC47" s="692" t="str">
        <x:v>否</x:v>
      </x:c>
    </x:row>
    <x:row r="48" ht="31.5" customHeight="1">
      <x:c r="A48" s="977" t="str">
        <x:v>matmul (ubm)</x:v>
      </x:c>
      <x:c r="B48" s="977" t="str">
        <x:v>FP16</x:v>
      </x:c>
      <x:c r="C48" s="984" t="n">
        <x:v>288</x:v>
      </x:c>
      <x:c r="D48" s="984" t="n">
        <x:v>7392</x:v>
      </x:c>
      <x:c r="E48" s="984" t="n">
        <x:v>256</x:v>
      </x:c>
      <x:c r="F48" s="977" t="str">
        <x:v>[288,7392,256]</x:v>
      </x:c>
      <x:c r="G48" s="977" t="str">
        <x:v>B-major</x:v>
      </x:c>
      <x:c r="H48" s="977" t="str">
        <x:v>matmul_reuseA</x:v>
      </x:c>
      <x:c r="I48" s="984" t="n">
        <x:v>128</x:v>
      </x:c>
      <x:c r="J48" s="984" t="n">
        <x:v>256</x:v>
      </x:c>
      <x:c r="K48" s="984" t="n">
        <x:v>64</x:v>
      </x:c>
      <x:c r="L48" s="1005" t="n">
        <x:v>4</x:v>
      </x:c>
      <x:c r="M48" s="1005" t="n">
        <x:v>32</x:v>
      </x:c>
      <x:c r="N48" s="1005" t="n">
        <x:v>32</x:v>
      </x:c>
      <x:c r="O48" s="984" t="n">
        <x:v>202381</x:v>
      </x:c>
      <x:c r="P48" s="1006" t="n">
        <x:v>126.488125</x:v>
      </x:c>
      <x:c r="Q48" s="984" t="n">
        <x:v>4096</x:v>
      </x:c>
      <x:c r="R48" s="984" t="n">
        <x:v>133056</x:v>
      </x:c>
      <x:c r="S48" s="1007" t="n">
        <x:v>0.6574530217757596</x:v>
      </x:c>
      <x:c r="T48" s="1005" t="n">
        <x:v>64</x:v>
      </x:c>
      <x:c r="U48" s="1005" t="n">
        <x:v>256</x:v>
      </x:c>
      <x:c r="V48" s="1007" t="n">
        <x:v>1</x:v>
      </x:c>
      <x:c r="W48" s="692" t="str">
        <x:v>PASS</x:v>
      </x:c>
      <x:c r="X48" s="944" t="str">
        <x:v>/Users/blacktraker/Programming/gitproj/DV4/SuperNPUBench/outputs/matmul_reuseA_other_shapes_20261010/sweep_fp16_m288_n7392_k256/build/FP16_M288_N7392_K256_tM128_tN256_tK64/kernel/matmul/elf/kernel_matmul_matmul_reuseA_B1_M288_N7392_K256_tM128_tN256_tK64_DType__half.elf</x:v>
      </x:c>
      <x:c r="Y48" s="944" t="str">
        <x:v>/Users/blacktraker/Programming/gitproj/DV4/SuperNPUBench/outputs/matmul_reuseA_other_shapes_20261010/sweep_fp16_m288_n7392_k256/logs/FP16_M288_N7392_K256_tM128_tN256_tK64.gfsim.log</x:v>
      </x:c>
      <x:c r="Z48" s="944" t="str">
        <x:v>PASS；matmul_reuseA；valid_row/valid_col 尾块处理；ELF=/Users/blacktraker/Programming/gitproj/DV4/SuperNPUBench/outputs/matmul_reuseA_other_shapes_20261010/sweep_fp16_m288_n7392_k256/build/FP16_M288_N7392_K256_tM128_tN256_tK64/kernel/matmul/elf/kernel_matmul_matmul_reuseA_B1_M288_N7392_K256_tM128_tN256_tK64_DType__half.elf；gfsim log=/Users/blacktraker/Programming/gitproj/DV4/SuperNPUBench/outputs/matmul_reuseA_other_shapes_20261010/sweep_fp16_m288_n7392_k256/logs/FP16_M288_N7392_K256_tM128_tN256_tK64.gfsim.log；source=/Users/blacktraker/Programming/gitproj/DV4/SuperNPUBench/benchmark/one-level-arch/kernels/basic_op/matmul/matmul_reuseA.hpp</x:v>
      </x:c>
      <x:c r="AA48" s="944"/>
      <x:c r="AB48" s="944" t="str">
        <x:v>matmul_reuseA; tM=128; tN=256; tK=64; tail=valid_row/valid_col</x:v>
      </x:c>
      <x:c r="AC48" s="692" t="str">
        <x:v>否</x:v>
      </x:c>
    </x:row>
    <x:row r="49" ht="31.5" customHeight="1">
      <x:c r="A49" s="977" t="str">
        <x:v>matmul (ubm)</x:v>
      </x:c>
      <x:c r="B49" s="977" t="str">
        <x:v>FP16</x:v>
      </x:c>
      <x:c r="C49" s="984" t="n">
        <x:v>288</x:v>
      </x:c>
      <x:c r="D49" s="984" t="n">
        <x:v>7392</x:v>
      </x:c>
      <x:c r="E49" s="984" t="n">
        <x:v>256</x:v>
      </x:c>
      <x:c r="F49" s="977" t="str">
        <x:v>[288,7392,256]</x:v>
      </x:c>
      <x:c r="G49" s="977" t="str">
        <x:v>B-major</x:v>
      </x:c>
      <x:c r="H49" s="977" t="str">
        <x:v>matmul_reuseA</x:v>
      </x:c>
      <x:c r="I49" s="984" t="n">
        <x:v>128</x:v>
      </x:c>
      <x:c r="J49" s="984" t="n">
        <x:v>256</x:v>
      </x:c>
      <x:c r="K49" s="984" t="n">
        <x:v>128</x:v>
      </x:c>
      <x:c r="L49" s="1005" t="n">
        <x:v>8</x:v>
      </x:c>
      <x:c r="M49" s="1005" t="n">
        <x:v>64</x:v>
      </x:c>
      <x:c r="N49" s="1005" t="n">
        <x:v>64</x:v>
      </x:c>
      <x:c r="O49" s="984" t="n">
        <x:v>175765</x:v>
      </x:c>
      <x:c r="P49" s="1006" t="n">
        <x:v>109.853125</x:v>
      </x:c>
      <x:c r="Q49" s="984" t="n">
        <x:v>4096</x:v>
      </x:c>
      <x:c r="R49" s="984" t="n">
        <x:v>133056</x:v>
      </x:c>
      <x:c r="S49" s="1007" t="n">
        <x:v>0.7570107814411288</x:v>
      </x:c>
      <x:c r="T49" s="1005" t="n">
        <x:v>64</x:v>
      </x:c>
      <x:c r="U49" s="1005" t="n">
        <x:v>128</x:v>
      </x:c>
      <x:c r="V49" s="1007" t="n">
        <x:v>1</x:v>
      </x:c>
      <x:c r="W49" s="692" t="str">
        <x:v>PASS</x:v>
      </x:c>
      <x:c r="X49" s="944" t="str">
        <x:v>/Users/blacktraker/Programming/gitproj/DV4/SuperNPUBench/outputs/matmul_reuseA_other_shapes_20261010/sweep_fp16_m288_n7392_k256/build/FP16_M288_N7392_K256_tM128_tN256_tK128/kernel/matmul/elf/kernel_matmul_matmul_reuseA_B1_M288_N7392_K256_tM128_tN256_tK128_DType__half.elf</x:v>
      </x:c>
      <x:c r="Y49" s="944" t="str">
        <x:v>/Users/blacktraker/Programming/gitproj/DV4/SuperNPUBench/outputs/matmul_reuseA_other_shapes_20261010/sweep_fp16_m288_n7392_k256/logs/FP16_M288_N7392_K256_tM128_tN256_tK128.gfsim.log</x:v>
      </x:c>
      <x:c r="Z49" s="944" t="str">
        <x:v>PASS；matmul_reuseA；valid_row/valid_col 尾块处理；ELF=/Users/blacktraker/Programming/gitproj/DV4/SuperNPUBench/outputs/matmul_reuseA_other_shapes_20261010/sweep_fp16_m288_n7392_k256/build/FP16_M288_N7392_K256_tM128_tN256_tK128/kernel/matmul/elf/kernel_matmul_matmul_reuseA_B1_M288_N7392_K256_tM128_tN256_tK128_DType__half.elf；gfsim log=/Users/blacktraker/Programming/gitproj/DV4/SuperNPUBench/outputs/matmul_reuseA_other_shapes_20261010/sweep_fp16_m288_n7392_k256/logs/FP16_M288_N7392_K256_tM128_tN256_tK128.gfsim.log；source=/Users/blacktraker/Programming/gitproj/DV4/SuperNPUBench/benchmark/one-level-arch/kernels/basic_op/matmul/matmul_reuseA.hpp</x:v>
      </x:c>
      <x:c r="AA49" s="944"/>
      <x:c r="AB49" s="944" t="str">
        <x:v>matmul_reuseA; tM=128; tN=256; tK=128; tail=valid_row/valid_col</x:v>
      </x:c>
      <x:c r="AC49" s="692" t="str">
        <x:v>否</x:v>
      </x:c>
    </x:row>
    <x:row r="50" ht="31.5" customHeight="1">
      <x:c r="A50" s="977" t="str">
        <x:v>matmul (ubm)</x:v>
      </x:c>
      <x:c r="B50" s="977" t="str">
        <x:v>FP16</x:v>
      </x:c>
      <x:c r="C50" s="984" t="n">
        <x:v>288</x:v>
      </x:c>
      <x:c r="D50" s="984" t="n">
        <x:v>7392</x:v>
      </x:c>
      <x:c r="E50" s="984" t="n">
        <x:v>256</x:v>
      </x:c>
      <x:c r="F50" s="977" t="str">
        <x:v>[288,7392,256]</x:v>
      </x:c>
      <x:c r="G50" s="977" t="str">
        <x:v>B-major</x:v>
      </x:c>
      <x:c r="H50" s="977" t="str">
        <x:v>matmul_reuseA</x:v>
      </x:c>
      <x:c r="I50" s="984" t="n">
        <x:v>128</x:v>
      </x:c>
      <x:c r="J50" s="984" t="n">
        <x:v>256</x:v>
      </x:c>
      <x:c r="K50" s="984" t="n">
        <x:v>256</x:v>
      </x:c>
      <x:c r="L50" s="1005" t="n">
        <x:v>16</x:v>
      </x:c>
      <x:c r="M50" s="1005" t="n">
        <x:v>128</x:v>
      </x:c>
      <x:c r="N50" s="1005" t="n">
        <x:v>128</x:v>
      </x:c>
      <x:c r="O50" s="984"/>
      <x:c r="P50" s="1006"/>
      <x:c r="Q50" s="984" t="n">
        <x:v>4096</x:v>
      </x:c>
      <x:c r="R50" s="984" t="n">
        <x:v>133056</x:v>
      </x:c>
      <x:c r="S50" s="1007"/>
      <x:c r="T50" s="1005"/>
      <x:c r="U50" s="1005"/>
      <x:c r="V50" s="1007"/>
      <x:c r="W50" s="969" t="str">
        <x:v>ASSERT_FAIL</x:v>
      </x:c>
      <x:c r="X50" s="944" t="str">
        <x:v>/Users/blacktraker/Programming/gitproj/DV4/SuperNPUBench/outputs/matmul_reuseA_other_shapes_20261010/sweep_fp16_m288_n7392_k256/build/FP16_M288_N7392_K256_tM128_tN256_tK256/kernel/matmul/elf/kernel_matmul_matmul_reuseA_B1_M288_N7392_K256_tM128_tN256_tK256_DType__half.elf</x:v>
      </x:c>
      <x:c r="Y50" s="944" t="str">
        <x:v>/Users/blacktraker/Programming/gitproj/DV4/SuperNPUBench/outputs/matmul_reuseA_other_shapes_20261010/sweep_fp16_m288_n7392_k256/logs/FP16_M288_N7392_K256_tM128_tN256_tK256.gfsim.log</x:v>
      </x:c>
      <x:c r="Z50" s="944" t="str">
        <x:v>ASSERT_FAIL；matmul_reuseA；valid_row/valid_col 尾块处理；                             0x0000000104ee1f1c main + 13920
9   dyld                                0x000000018a79be00 start + 6992
std::terminate called (unhandled exception or exception during unwinding)
FATAL: gfsim received signal 6
0   gfsim                               0x0000000104eecfa0 _ZN12_GLOBAL__N_125PrintFatalSignalBacktraceEi + 52
1   libsystem_platform.dylib            0x000000018ab63744 _sigtramp + 56
2   libsystem_pthread.dylib             0x000000018ab598d8 pthread_kill + 296
3   libsystem_c.dylib                   0x000000018aa60644 abort + 148
4   gfsim                               0x0000000105782c04 main.cold.1 + 0
5   libc++abi.dylib                     0x000000018ab0d75c _ZSt11__terminatePFvvE + 16
6   libc++abi.dylib                     0x000000018aafce80 _ZN10__cxxabiv1L13is_class_typeEPKNS_16__shim_type_infoE + 0
7   gfsim                               0x0000000104ee3bc4 main + 21256
8   dyld                                0x000000018a79be00 start + 6992
；ELF=/Users/blacktraker/Programming/gitproj/DV4/SuperNPUBench/outputs/matmul_reuseA_other_shapes_20261010/sweep_fp16_m288_n7392_k256/build/FP16_M288_N7392_K256_tM128_tN256_tK256/kernel/matmul/elf/kernel_matmul_matmul_reuseA_B1_M288_N7392_K256_tM128_tN256_tK256_DType__half.elf；gfsim log=/Users/blacktraker/Programming/gitproj/DV4/SuperNPUBench/outputs/matmul_reuseA_other_shapes_20261010/sweep_fp16_m288_n7392_k256/logs/FP16_M288_N7392_K256_tM128_tN256_tK256.gfsim.log；source=/Users/blacktraker/Programming/gitproj/DV4/SuperNPUBench/benchmark/one-level-arch/kernels/basic_op/matmul/matmul_reuseA.hpp</x:v>
      </x:c>
      <x:c r="AA50" s="944"/>
      <x:c r="AB50" s="944" t="str">
        <x:v>matmul_reuseA; tM=128; tN=256; tK=256; tail=valid_row/valid_col</x:v>
      </x:c>
      <x:c r="AC50" s="692" t="str">
        <x:v>否</x:v>
      </x:c>
    </x:row>
    <x:row r="51" ht="31.5" customHeight="1">
      <x:c r="A51" s="978" t="str">
        <x:v>matmul (ubm)</x:v>
      </x:c>
      <x:c r="B51" s="978" t="str">
        <x:v>HIF4</x:v>
      </x:c>
      <x:c r="C51" s="985" t="n">
        <x:v>48</x:v>
      </x:c>
      <x:c r="D51" s="985" t="n">
        <x:v>7168</x:v>
      </x:c>
      <x:c r="E51" s="985" t="n">
        <x:v>96</x:v>
      </x:c>
      <x:c r="F51" s="978" t="str">
        <x:v>[48,7168,96]</x:v>
      </x:c>
      <x:c r="G51" s="978" t="str">
        <x:v>B-major</x:v>
      </x:c>
      <x:c r="H51" s="978" t="str">
        <x:v>matmul_lowp</x:v>
      </x:c>
      <x:c r="I51" s="985" t="n">
        <x:v>128</x:v>
      </x:c>
      <x:c r="J51" s="985" t="n">
        <x:v>64</x:v>
      </x:c>
      <x:c r="K51" s="985" t="n">
        <x:v>64</x:v>
      </x:c>
      <x:c r="L51" s="1009" t="n">
        <x:v>8</x:v>
      </x:c>
      <x:c r="M51" s="1009" t="n">
        <x:v>4</x:v>
      </x:c>
      <x:c r="N51" s="1009" t="n">
        <x:v>36</x:v>
      </x:c>
      <x:c r="O51" s="985"/>
      <x:c r="P51" s="1010"/>
      <x:c r="Q51" s="985" t="n">
        <x:v>16384</x:v>
      </x:c>
      <x:c r="R51" s="985" t="n">
        <x:v>2016</x:v>
      </x:c>
      <x:c r="S51" s="1011"/>
      <x:c r="T51" s="1009"/>
      <x:c r="U51" s="1009"/>
      <x:c r="V51" s="1011"/>
      <x:c r="W51" s="969" t="str">
        <x:v>DEADLOCK</x:v>
      </x:c>
      <x:c r="X51" s="946" t="str">
        <x:v>/Users/blacktraker/Programming/gitproj/DV4/SuperNPUBench/outputs/matmul_other4_refresh_20261010/sweep/04_hif4_small/build/HIF4_M48_N7168_K96_tM128_tN64_tK64/kernel/matmul/elf/kernel_matmul_matmul_lowp_HIF4_B1_M48_N7168_K96_tM128_tN64_tK64.elf</x:v>
      </x:c>
      <x:c r="Y51" s="946" t="str">
        <x:v>/Users/blacktraker/Programming/gitproj/DV4/SuperNPUBench/outputs/matmul_other4_refresh_20261010/sweep/04_hif4_small/logs/HIF4_M48_N7168_K96_tM128_tN64_tK64.gfsim.log</x:v>
      </x:c>
      <x:c r="Z51" s="946" t="str">
        <x:v>DEADLOCK；matmul_lowp；ELF=/Users/blacktraker/Programming/gitproj/DV4/SuperNPUBench/outputs/matmul_other4_refresh_20261010/sweep/04_hif4_small/build/HIF4_M48_N7168_K96_tM128_tN64_tK64/kernel/matmul/elf/kernel_matmul_matmul_lowp_HIF4_B1_M48_N7168_K96_tM128_tN64_tK64.elf；gfsim log=/Users/blacktraker/Programming/gitproj/DV4/SuperNPUBench/outputs/matmul_other4_refresh_20261010/sweep/04_hif4_small/logs/HIF4_M48_N7168_K96_tM128_tN64_tK64.gfsim.log</x:v>
      </x:c>
      <x:c r="AA51" s="946"/>
      <x:c r="AB51" s="946" t="str">
        <x:v>matmul_lowp; tM=128; tN=64; tK=64</x:v>
      </x:c>
      <x:c r="AC51" s="701" t="str">
        <x:v>否</x:v>
      </x:c>
    </x:row>
    <x:row r="52" ht="31.5" customHeight="1">
      <x:c r="A52" s="978" t="str">
        <x:v>matmul (ubm)</x:v>
      </x:c>
      <x:c r="B52" s="978" t="str">
        <x:v>HIF4</x:v>
      </x:c>
      <x:c r="C52" s="985" t="n">
        <x:v>48</x:v>
      </x:c>
      <x:c r="D52" s="985" t="n">
        <x:v>7168</x:v>
      </x:c>
      <x:c r="E52" s="985" t="n">
        <x:v>96</x:v>
      </x:c>
      <x:c r="F52" s="978" t="str">
        <x:v>[48,7168,96]</x:v>
      </x:c>
      <x:c r="G52" s="978" t="str">
        <x:v>B-major</x:v>
      </x:c>
      <x:c r="H52" s="978" t="str">
        <x:v>matmul_lowp</x:v>
      </x:c>
      <x:c r="I52" s="985" t="n">
        <x:v>128</x:v>
      </x:c>
      <x:c r="J52" s="985" t="n">
        <x:v>64</x:v>
      </x:c>
      <x:c r="K52" s="985" t="n">
        <x:v>128</x:v>
      </x:c>
      <x:c r="L52" s="1009" t="n">
        <x:v>16</x:v>
      </x:c>
      <x:c r="M52" s="1009" t="n">
        <x:v>8</x:v>
      </x:c>
      <x:c r="N52" s="1009" t="n">
        <x:v>48</x:v>
      </x:c>
      <x:c r="O52" s="985"/>
      <x:c r="P52" s="1010"/>
      <x:c r="Q52" s="985" t="n">
        <x:v>16384</x:v>
      </x:c>
      <x:c r="R52" s="985" t="n">
        <x:v>2016</x:v>
      </x:c>
      <x:c r="S52" s="1011"/>
      <x:c r="T52" s="1009"/>
      <x:c r="U52" s="1009"/>
      <x:c r="V52" s="1011"/>
      <x:c r="W52" s="969" t="str">
        <x:v>DEADLOCK</x:v>
      </x:c>
      <x:c r="X52" s="946" t="str">
        <x:v>/Users/blacktraker/Programming/gitproj/DV4/SuperNPUBench/outputs/matmul_other4_refresh_20261010/sweep/04_hif4_small/build/HIF4_M48_N7168_K96_tM128_tN64_tK128/kernel/matmul/elf/kernel_matmul_matmul_lowp_HIF4_B1_M48_N7168_K96_tM128_tN64_tK128.elf</x:v>
      </x:c>
      <x:c r="Y52" s="946" t="str">
        <x:v>/Users/blacktraker/Programming/gitproj/DV4/SuperNPUBench/outputs/matmul_other4_refresh_20261010/sweep/04_hif4_small/logs/HIF4_M48_N7168_K96_tM128_tN64_tK128.gfsim.log</x:v>
      </x:c>
      <x:c r="Z52" s="946" t="str">
        <x:v>DEADLOCK；matmul_lowp；ELF=/Users/blacktraker/Programming/gitproj/DV4/SuperNPUBench/outputs/matmul_other4_refresh_20261010/sweep/04_hif4_small/build/HIF4_M48_N7168_K96_tM128_tN64_tK128/kernel/matmul/elf/kernel_matmul_matmul_lowp_HIF4_B1_M48_N7168_K96_tM128_tN64_tK128.elf；gfsim log=/Users/blacktraker/Programming/gitproj/DV4/SuperNPUBench/outputs/matmul_other4_refresh_20261010/sweep/04_hif4_small/logs/HIF4_M48_N7168_K96_tM128_tN64_tK128.gfsim.log</x:v>
      </x:c>
      <x:c r="AA52" s="946"/>
      <x:c r="AB52" s="946" t="str">
        <x:v>matmul_lowp; tM=128; tN=64; tK=128</x:v>
      </x:c>
      <x:c r="AC52" s="701" t="str">
        <x:v>否</x:v>
      </x:c>
    </x:row>
    <x:row r="53" ht="31.5" customHeight="1">
      <x:c r="A53" s="978" t="str">
        <x:v>matmul (ubm)</x:v>
      </x:c>
      <x:c r="B53" s="978" t="str">
        <x:v>HIF4</x:v>
      </x:c>
      <x:c r="C53" s="985" t="n">
        <x:v>48</x:v>
      </x:c>
      <x:c r="D53" s="985" t="n">
        <x:v>7168</x:v>
      </x:c>
      <x:c r="E53" s="985" t="n">
        <x:v>96</x:v>
      </x:c>
      <x:c r="F53" s="978" t="str">
        <x:v>[48,7168,96]</x:v>
      </x:c>
      <x:c r="G53" s="978" t="str">
        <x:v>B-major</x:v>
      </x:c>
      <x:c r="H53" s="978" t="str">
        <x:v>matmul_lowp</x:v>
      </x:c>
      <x:c r="I53" s="985" t="n">
        <x:v>128</x:v>
      </x:c>
      <x:c r="J53" s="985" t="n">
        <x:v>128</x:v>
      </x:c>
      <x:c r="K53" s="985" t="n">
        <x:v>64</x:v>
      </x:c>
      <x:c r="L53" s="1009" t="n">
        <x:v>8</x:v>
      </x:c>
      <x:c r="M53" s="1009" t="n">
        <x:v>8</x:v>
      </x:c>
      <x:c r="N53" s="1009" t="n">
        <x:v>48</x:v>
      </x:c>
      <x:c r="O53" s="985"/>
      <x:c r="P53" s="1010"/>
      <x:c r="Q53" s="985" t="n">
        <x:v>16384</x:v>
      </x:c>
      <x:c r="R53" s="985" t="n">
        <x:v>2016</x:v>
      </x:c>
      <x:c r="S53" s="1011"/>
      <x:c r="T53" s="1009"/>
      <x:c r="U53" s="1009"/>
      <x:c r="V53" s="1011"/>
      <x:c r="W53" s="969" t="str">
        <x:v>DEADLOCK</x:v>
      </x:c>
      <x:c r="X53" s="946" t="str">
        <x:v>/Users/blacktraker/Programming/gitproj/DV4/SuperNPUBench/outputs/matmul_other4_refresh_20261010/sweep/04_hif4_small/build/HIF4_M48_N7168_K96_tM128_tN128_tK64/kernel/matmul/elf/kernel_matmul_matmul_lowp_HIF4_B1_M48_N7168_K96_tM128_tN128_tK64.elf</x:v>
      </x:c>
      <x:c r="Y53" s="946" t="str">
        <x:v>/Users/blacktraker/Programming/gitproj/DV4/SuperNPUBench/outputs/matmul_other4_refresh_20261010/sweep/04_hif4_small/logs/HIF4_M48_N7168_K96_tM128_tN128_tK64.gfsim.log</x:v>
      </x:c>
      <x:c r="Z53" s="946" t="str">
        <x:v>DEADLOCK；matmul_lowp；ELF=/Users/blacktraker/Programming/gitproj/DV4/SuperNPUBench/outputs/matmul_other4_refresh_20261010/sweep/04_hif4_small/build/HIF4_M48_N7168_K96_tM128_tN128_tK64/kernel/matmul/elf/kernel_matmul_matmul_lowp_HIF4_B1_M48_N7168_K96_tM128_tN128_tK64.elf；gfsim log=/Users/blacktraker/Programming/gitproj/DV4/SuperNPUBench/outputs/matmul_other4_refresh_20261010/sweep/04_hif4_small/logs/HIF4_M48_N7168_K96_tM128_tN128_tK64.gfsim.log</x:v>
      </x:c>
      <x:c r="AA53" s="946"/>
      <x:c r="AB53" s="946" t="str">
        <x:v>matmul_lowp; tM=128; tN=128; tK=64</x:v>
      </x:c>
      <x:c r="AC53" s="701" t="str">
        <x:v>否</x:v>
      </x:c>
    </x:row>
    <x:row r="54" ht="31.5" customHeight="1">
      <x:c r="A54" s="978" t="str">
        <x:v>matmul (ubm)</x:v>
      </x:c>
      <x:c r="B54" s="978" t="str">
        <x:v>HIF4</x:v>
      </x:c>
      <x:c r="C54" s="985" t="n">
        <x:v>48</x:v>
      </x:c>
      <x:c r="D54" s="985" t="n">
        <x:v>7168</x:v>
      </x:c>
      <x:c r="E54" s="985" t="n">
        <x:v>96</x:v>
      </x:c>
      <x:c r="F54" s="978" t="str">
        <x:v>[48,7168,96]</x:v>
      </x:c>
      <x:c r="G54" s="978" t="str">
        <x:v>B-major</x:v>
      </x:c>
      <x:c r="H54" s="978" t="str">
        <x:v>matmul_lowp</x:v>
      </x:c>
      <x:c r="I54" s="1012" t="n">
        <x:v>128</x:v>
      </x:c>
      <x:c r="J54" s="1012" t="n">
        <x:v>128</x:v>
      </x:c>
      <x:c r="K54" s="1012" t="n">
        <x:v>128</x:v>
      </x:c>
      <x:c r="L54" s="1009" t="n">
        <x:v>16</x:v>
      </x:c>
      <x:c r="M54" s="1009" t="n">
        <x:v>16</x:v>
      </x:c>
      <x:c r="N54" s="1009" t="n">
        <x:v>64</x:v>
      </x:c>
      <x:c r="O54" s="998" t="n">
        <x:v>48590</x:v>
      </x:c>
      <x:c r="P54" s="999" t="n">
        <x:v>30.36875</x:v>
      </x:c>
      <x:c r="Q54" s="998" t="n">
        <x:v>16384</x:v>
      </x:c>
      <x:c r="R54" s="998" t="n">
        <x:v>2016</x:v>
      </x:c>
      <x:c r="S54" s="1000" t="n">
        <x:v>0.0414900185223297</x:v>
      </x:c>
      <x:c r="T54" s="1009" t="n">
        <x:v>512</x:v>
      </x:c>
      <x:c r="U54" s="1009" t="n">
        <x:v>512</x:v>
      </x:c>
      <x:c r="V54" s="1011" t="n">
        <x:v>0.25</x:v>
      </x:c>
      <x:c r="W54" s="701" t="str">
        <x:v>PASS</x:v>
      </x:c>
      <x:c r="X54" s="946" t="str">
        <x:v>/Users/blacktraker/Programming/gitproj/DV4/SuperNPUBench/outputs/matmul_other4_refresh_20261010/sweep/04_hif4_small/build/HIF4_M48_N7168_K96_tM128_tN128_tK128/kernel/matmul/elf/kernel_matmul_matmul_lowp_HIF4_B1_M48_N7168_K96_tM128_tN128_tK128.elf</x:v>
      </x:c>
      <x:c r="Y54" s="946" t="str">
        <x:v>/Users/blacktraker/Programming/gitproj/DV4/SuperNPUBench/outputs/matmul_other4_refresh_20261010/sweep/04_hif4_small/logs/HIF4_M48_N7168_K96_tM128_tN128_tK128.gfsim.log</x:v>
      </x:c>
      <x:c r="Z54" s="946" t="str">
        <x:v>PASS；matmul_lowp；ELF=/Users/blacktraker/Programming/gitproj/DV4/SuperNPUBench/outputs/matmul_other4_refresh_20261010/sweep/04_hif4_small/build/HIF4_M48_N7168_K96_tM128_tN128_tK128/kernel/matmul/elf/kernel_matmul_matmul_lowp_HIF4_B1_M48_N7168_K96_tM128_tN128_tK128.elf；gfsim log=/Users/blacktraker/Programming/gitproj/DV4/SuperNPUBench/outputs/matmul_other4_refresh_20261010/sweep/04_hif4_small/logs/HIF4_M48_N7168_K96_tM128_tN128_tK128.gfsim.log</x:v>
      </x:c>
      <x:c r="AA54" s="946"/>
      <x:c r="AB54" s="946" t="str">
        <x:v>matmul_lowp; tM=128; tN=128; tK=128</x:v>
      </x:c>
      <x:c r="AC54" s="971" t="str">
        <x:v>是</x:v>
      </x:c>
    </x:row>
    <x:row r="55" ht="31.5" customHeight="1">
      <x:c r="A55" s="978" t="str">
        <x:v>matmul (ubm)</x:v>
      </x:c>
      <x:c r="B55" s="978" t="str">
        <x:v>HIF4</x:v>
      </x:c>
      <x:c r="C55" s="985" t="n">
        <x:v>48</x:v>
      </x:c>
      <x:c r="D55" s="985" t="n">
        <x:v>7168</x:v>
      </x:c>
      <x:c r="E55" s="985" t="n">
        <x:v>96</x:v>
      </x:c>
      <x:c r="F55" s="978" t="str">
        <x:v>[48,7168,96]</x:v>
      </x:c>
      <x:c r="G55" s="978" t="str">
        <x:v>B-major</x:v>
      </x:c>
      <x:c r="H55" s="978" t="str">
        <x:v>matmul_lowp</x:v>
      </x:c>
      <x:c r="I55" s="985" t="n">
        <x:v>128</x:v>
      </x:c>
      <x:c r="J55" s="985" t="n">
        <x:v>256</x:v>
      </x:c>
      <x:c r="K55" s="985" t="n">
        <x:v>64</x:v>
      </x:c>
      <x:c r="L55" s="1009" t="n">
        <x:v>8</x:v>
      </x:c>
      <x:c r="M55" s="1009" t="n">
        <x:v>16</x:v>
      </x:c>
      <x:c r="N55" s="1009" t="n">
        <x:v>72</x:v>
      </x:c>
      <x:c r="O55" s="985"/>
      <x:c r="P55" s="1010"/>
      <x:c r="Q55" s="985" t="n">
        <x:v>16384</x:v>
      </x:c>
      <x:c r="R55" s="985" t="n">
        <x:v>2016</x:v>
      </x:c>
      <x:c r="S55" s="1011"/>
      <x:c r="T55" s="1009"/>
      <x:c r="U55" s="1009"/>
      <x:c r="V55" s="1011"/>
      <x:c r="W55" s="969" t="str">
        <x:v>ASSERT_FAIL</x:v>
      </x:c>
      <x:c r="X55" s="946" t="str">
        <x:v>/Users/blacktraker/Programming/gitproj/DV4/SuperNPUBench/outputs/matmul_other4_refresh_20261010/sweep/04_hif4_small/build/HIF4_M48_N7168_K96_tM128_tN256_tK64/kernel/matmul/elf/kernel_matmul_matmul_lowp_HIF4_B1_M48_N7168_K96_tM128_tN256_tK64.elf</x:v>
      </x:c>
      <x:c r="Y55" s="946" t="str">
        <x:v>/Users/blacktraker/Programming/gitproj/DV4/SuperNPUBench/outputs/matmul_other4_refresh_20261010/sweep/04_hif4_small/logs/HIF4_M48_N7168_K96_tM128_tN256_tK64.gfsim.log</x:v>
      </x:c>
      <x:c r="Z55" s="946" t="str">
        <x:v>ASSERT_FAIL；matmul_lowp；ELF=/Users/blacktraker/Programming/gitproj/DV4/SuperNPUBench/outputs/matmul_other4_refresh_20261010/sweep/04_hif4_small/build/HIF4_M48_N7168_K96_tM128_tN256_tK64/kernel/matmul/elf/kernel_matmul_matmul_lowp_HIF4_B1_M48_N7168_K96_tM128_tN256_tK64.elf；gfsim log=/Users/blacktraker/Programming/gitproj/DV4/SuperNPUBench/outputs/matmul_other4_refresh_20261010/sweep/04_hif4_small/logs/HIF4_M48_N7168_K96_tM128_tN256_tK64.gfsim.log</x:v>
      </x:c>
      <x:c r="AA55" s="946"/>
      <x:c r="AB55" s="946" t="str">
        <x:v>matmul_lowp; tM=128; tN=256; tK=64</x:v>
      </x:c>
      <x:c r="AC55" s="701" t="str">
        <x:v>否</x:v>
      </x:c>
    </x:row>
    <x:row r="56" ht="31.5" customHeight="1">
      <x:c r="A56" s="978" t="str">
        <x:v>matmul (ubm)</x:v>
      </x:c>
      <x:c r="B56" s="978" t="str">
        <x:v>HIF4</x:v>
      </x:c>
      <x:c r="C56" s="985" t="n">
        <x:v>48</x:v>
      </x:c>
      <x:c r="D56" s="985" t="n">
        <x:v>7168</x:v>
      </x:c>
      <x:c r="E56" s="985" t="n">
        <x:v>96</x:v>
      </x:c>
      <x:c r="F56" s="978" t="str">
        <x:v>[48,7168,96]</x:v>
      </x:c>
      <x:c r="G56" s="978" t="str">
        <x:v>B-major</x:v>
      </x:c>
      <x:c r="H56" s="978" t="str">
        <x:v>matmul_lowp</x:v>
      </x:c>
      <x:c r="I56" s="985" t="n">
        <x:v>128</x:v>
      </x:c>
      <x:c r="J56" s="985" t="n">
        <x:v>256</x:v>
      </x:c>
      <x:c r="K56" s="985" t="n">
        <x:v>128</x:v>
      </x:c>
      <x:c r="L56" s="1009" t="n">
        <x:v>16</x:v>
      </x:c>
      <x:c r="M56" s="1009" t="n">
        <x:v>32</x:v>
      </x:c>
      <x:c r="N56" s="1009" t="n">
        <x:v>96</x:v>
      </x:c>
      <x:c r="O56" s="985"/>
      <x:c r="P56" s="1010"/>
      <x:c r="Q56" s="985" t="n">
        <x:v>16384</x:v>
      </x:c>
      <x:c r="R56" s="985" t="n">
        <x:v>2016</x:v>
      </x:c>
      <x:c r="S56" s="1011"/>
      <x:c r="T56" s="1009"/>
      <x:c r="U56" s="1009"/>
      <x:c r="V56" s="1011"/>
      <x:c r="W56" s="969" t="str">
        <x:v>ASSERT_FAIL</x:v>
      </x:c>
      <x:c r="X56" s="946" t="str">
        <x:v>/Users/blacktraker/Programming/gitproj/DV4/SuperNPUBench/outputs/matmul_other4_refresh_20261010/sweep/04_hif4_small/build/HIF4_M48_N7168_K96_tM128_tN256_tK128/kernel/matmul/elf/kernel_matmul_matmul_lowp_HIF4_B1_M48_N7168_K96_tM128_tN256_tK128.elf</x:v>
      </x:c>
      <x:c r="Y56" s="946" t="str">
        <x:v>/Users/blacktraker/Programming/gitproj/DV4/SuperNPUBench/outputs/matmul_other4_refresh_20261010/sweep/04_hif4_small/logs/HIF4_M48_N7168_K96_tM128_tN256_tK128.gfsim.log</x:v>
      </x:c>
      <x:c r="Z56" s="946" t="str">
        <x:v>ASSERT_FAIL；matmul_lowp；ELF=/Users/blacktraker/Programming/gitproj/DV4/SuperNPUBench/outputs/matmul_other4_refresh_20261010/sweep/04_hif4_small/build/HIF4_M48_N7168_K96_tM128_tN256_tK128/kernel/matmul/elf/kernel_matmul_matmul_lowp_HIF4_B1_M48_N7168_K96_tM128_tN256_tK128.elf；gfsim log=/Users/blacktraker/Programming/gitproj/DV4/SuperNPUBench/outputs/matmul_other4_refresh_20261010/sweep/04_hif4_small/logs/HIF4_M48_N7168_K96_tM128_tN256_tK128.gfsim.log</x:v>
      </x:c>
      <x:c r="AA56" s="946"/>
      <x:c r="AB56" s="946" t="str">
        <x:v>matmul_lowp; tM=128; tN=256; tK=128</x:v>
      </x:c>
      <x:c r="AC56" s="701" t="str">
        <x:v>否</x:v>
      </x:c>
    </x:row>
    <x:row r="57" ht="31.5" customHeight="1">
      <x:c r="A57" s="979" t="str">
        <x:v>matmul (ubm)</x:v>
      </x:c>
      <x:c r="B57" s="979" t="str">
        <x:v>HIF4</x:v>
      </x:c>
      <x:c r="C57" s="986" t="n">
        <x:v>256</x:v>
      </x:c>
      <x:c r="D57" s="986" t="n">
        <x:v>4096</x:v>
      </x:c>
      <x:c r="E57" s="986" t="n">
        <x:v>1280</x:v>
      </x:c>
      <x:c r="F57" s="979" t="str">
        <x:v>[256,4096,1280]</x:v>
      </x:c>
      <x:c r="G57" s="979" t="str">
        <x:v>B-major</x:v>
      </x:c>
      <x:c r="H57" s="979" t="str">
        <x:v>matmul_lowp</x:v>
      </x:c>
      <x:c r="I57" s="986" t="n">
        <x:v>128</x:v>
      </x:c>
      <x:c r="J57" s="986" t="n">
        <x:v>128</x:v>
      </x:c>
      <x:c r="K57" s="986" t="n">
        <x:v>128</x:v>
      </x:c>
      <x:c r="L57" s="1013" t="n">
        <x:v>16</x:v>
      </x:c>
      <x:c r="M57" s="1013" t="n">
        <x:v>16</x:v>
      </x:c>
      <x:c r="N57" s="1013" t="n">
        <x:v>64</x:v>
      </x:c>
      <x:c r="O57" s="986" t="n">
        <x:v>533939</x:v>
      </x:c>
      <x:c r="P57" s="1014" t="n">
        <x:v>333.711875</x:v>
      </x:c>
      <x:c r="Q57" s="986" t="n">
        <x:v>16384</x:v>
      </x:c>
      <x:c r="R57" s="986" t="n">
        <x:v>81920</x:v>
      </x:c>
      <x:c r="S57" s="1015" t="n">
        <x:v>0.15342576586463996</x:v>
      </x:c>
      <x:c r="T57" s="1013" t="n">
        <x:v>512</x:v>
      </x:c>
      <x:c r="U57" s="1013" t="n">
        <x:v>512</x:v>
      </x:c>
      <x:c r="V57" s="1015" t="n">
        <x:v>0.25</x:v>
      </x:c>
      <x:c r="W57" s="709" t="str">
        <x:v>PASS</x:v>
      </x:c>
      <x:c r="X57" s="1024" t="str">
        <x:v>/Users/blacktraker/Programming/gitproj/DV4/SuperNPUBench/outputs/matmul_other4_refresh_20261010/sweep/05_hif4_large_effective/build/HIF4_M256_N4096_K1280_tM128_tN128_tK128/kernel/matmul/elf/kernel_matmul_matmul_lowp_HIF4_B1_M256_N4096_K1280_tM128_tN128_tK128.elf</x:v>
      </x:c>
      <x:c r="Y57" s="1024" t="str">
        <x:v>/Users/blacktraker/Programming/gitproj/DV4/SuperNPUBench/outputs/matmul_other4_refresh_20261010/sweep/05_hif4_large_effective/logs/HIF4_M256_N4096_K1280_tM128_tN128_tK128.gfsim.log</x:v>
      </x:c>
      <x:c r="Z57" s="1024" t="str">
        <x:v>PASS；matmul_lowp；ELF=/Users/blacktraker/Programming/gitproj/DV4/SuperNPUBench/outputs/matmul_other4_refresh_20261010/sweep/05_hif4_large_effective/build/HIF4_M256_N4096_K1280_tM128_tN128_tK128/kernel/matmul/elf/kernel_matmul_matmul_lowp_HIF4_B1_M256_N4096_K1280_tM128_tN128_tK128.elf；gfsim log=/Users/blacktraker/Programming/gitproj/DV4/SuperNPUBench/outputs/matmul_other4_refresh_20261010/sweep/05_hif4_large_effective/logs/HIF4_M256_N4096_K1280_tM128_tN128_tK128.gfsim.log</x:v>
      </x:c>
      <x:c r="AA57" s="1024"/>
      <x:c r="AB57" s="1024" t="str">
        <x:v>matmul_lowp; tM=128; tN=128; tK=128</x:v>
      </x:c>
      <x:c r="AC57" s="709" t="str">
        <x:v>否</x:v>
      </x:c>
    </x:row>
    <x:row r="58" ht="31.5" customHeight="1">
      <x:c r="A58" s="979" t="str">
        <x:v>matmul (ubm)</x:v>
      </x:c>
      <x:c r="B58" s="979" t="str">
        <x:v>HIF4</x:v>
      </x:c>
      <x:c r="C58" s="986" t="n">
        <x:v>256</x:v>
      </x:c>
      <x:c r="D58" s="986" t="n">
        <x:v>4096</x:v>
      </x:c>
      <x:c r="E58" s="986" t="n">
        <x:v>1280</x:v>
      </x:c>
      <x:c r="F58" s="979" t="str">
        <x:v>[256,4096,1280]</x:v>
      </x:c>
      <x:c r="G58" s="979" t="str">
        <x:v>B-major</x:v>
      </x:c>
      <x:c r="H58" s="979" t="str">
        <x:v>matmul_lowp</x:v>
      </x:c>
      <x:c r="I58" s="1016" t="n">
        <x:v>128</x:v>
      </x:c>
      <x:c r="J58" s="1016" t="n">
        <x:v>128</x:v>
      </x:c>
      <x:c r="K58" s="1016" t="n">
        <x:v>256</x:v>
      </x:c>
      <x:c r="L58" s="1013" t="n">
        <x:v>32</x:v>
      </x:c>
      <x:c r="M58" s="1013" t="n">
        <x:v>32</x:v>
      </x:c>
      <x:c r="N58" s="1013" t="n">
        <x:v>96</x:v>
      </x:c>
      <x:c r="O58" s="998" t="n">
        <x:v>332490</x:v>
      </x:c>
      <x:c r="P58" s="999" t="n">
        <x:v>207.80625</x:v>
      </x:c>
      <x:c r="Q58" s="998" t="n">
        <x:v>16384</x:v>
      </x:c>
      <x:c r="R58" s="998" t="n">
        <x:v>81920</x:v>
      </x:c>
      <x:c r="S58" s="1000" t="n">
        <x:v>0.2463833498751842</x:v>
      </x:c>
      <x:c r="T58" s="1013" t="n">
        <x:v>384</x:v>
      </x:c>
      <x:c r="U58" s="1013" t="n">
        <x:v>256</x:v>
      </x:c>
      <x:c r="V58" s="1015" t="n">
        <x:v>0.3333333333333333</x:v>
      </x:c>
      <x:c r="W58" s="709" t="str">
        <x:v>PASS</x:v>
      </x:c>
      <x:c r="X58" s="1024" t="str">
        <x:v>/Users/blacktraker/Programming/gitproj/DV4/SuperNPUBench/outputs/matmul_other4_refresh_20261010/sweep/05_hif4_large_effective/build/HIF4_M256_N4096_K1280_tM128_tN128_tK256/kernel/matmul/elf/kernel_matmul_matmul_lowp_HIF4_B1_M256_N4096_K1280_tM128_tN128_tK256.elf</x:v>
      </x:c>
      <x:c r="Y58" s="1024" t="str">
        <x:v>/Users/blacktraker/Programming/gitproj/DV4/SuperNPUBench/outputs/matmul_other4_refresh_20261010/sweep/05_hif4_large_effective/logs/HIF4_M256_N4096_K1280_tM128_tN128_tK256.gfsim.log</x:v>
      </x:c>
      <x:c r="Z58" s="1024" t="str">
        <x:v>PASS；matmul_lowp；ELF=/Users/blacktraker/Programming/gitproj/DV4/SuperNPUBench/outputs/matmul_other4_refresh_20261010/sweep/05_hif4_large_effective/build/HIF4_M256_N4096_K1280_tM128_tN128_tK256/kernel/matmul/elf/kernel_matmul_matmul_lowp_HIF4_B1_M256_N4096_K1280_tM128_tN128_tK256.elf；gfsim log=/Users/blacktraker/Programming/gitproj/DV4/SuperNPUBench/outputs/matmul_other4_refresh_20261010/sweep/05_hif4_large_effective/logs/HIF4_M256_N4096_K1280_tM128_tN128_tK256.gfsim.log</x:v>
      </x:c>
      <x:c r="AA58" s="1024"/>
      <x:c r="AB58" s="1024" t="str">
        <x:v>matmul_lowp; tM=128; tN=128; tK=256</x:v>
      </x:c>
      <x:c r="AC58" s="973" t="str">
        <x:v>是</x:v>
      </x:c>
    </x:row>
    <x:row r="59" ht="31.5" customHeight="1">
      <x:c r="A59" s="979" t="str">
        <x:v>matmul (ubm)</x:v>
      </x:c>
      <x:c r="B59" s="979" t="str">
        <x:v>HIF4</x:v>
      </x:c>
      <x:c r="C59" s="986" t="n">
        <x:v>256</x:v>
      </x:c>
      <x:c r="D59" s="986" t="n">
        <x:v>4096</x:v>
      </x:c>
      <x:c r="E59" s="986" t="n">
        <x:v>1280</x:v>
      </x:c>
      <x:c r="F59" s="979" t="str">
        <x:v>[256,4096,1280]</x:v>
      </x:c>
      <x:c r="G59" s="979" t="str">
        <x:v>B-major</x:v>
      </x:c>
      <x:c r="H59" s="979" t="str">
        <x:v>matmul_lowp</x:v>
      </x:c>
      <x:c r="I59" s="986" t="n">
        <x:v>128</x:v>
      </x:c>
      <x:c r="J59" s="986" t="n">
        <x:v>256</x:v>
      </x:c>
      <x:c r="K59" s="986" t="n">
        <x:v>128</x:v>
      </x:c>
      <x:c r="L59" s="1013" t="n">
        <x:v>16</x:v>
      </x:c>
      <x:c r="M59" s="1013" t="n">
        <x:v>32</x:v>
      </x:c>
      <x:c r="N59" s="1013" t="n">
        <x:v>96</x:v>
      </x:c>
      <x:c r="O59" s="986" t="n">
        <x:v>403661</x:v>
      </x:c>
      <x:c r="P59" s="1014" t="n">
        <x:v>252.288125</x:v>
      </x:c>
      <x:c r="Q59" s="986" t="n">
        <x:v>16384</x:v>
      </x:c>
      <x:c r="R59" s="986" t="n">
        <x:v>81920</x:v>
      </x:c>
      <x:c r="S59" s="1015" t="n">
        <x:v>0.2029425681450524</x:v>
      </x:c>
      <x:c r="T59" s="1013" t="n">
        <x:v>384</x:v>
      </x:c>
      <x:c r="U59" s="1013" t="n">
        <x:v>512</x:v>
      </x:c>
      <x:c r="V59" s="1015" t="n">
        <x:v>0.3333333333333333</x:v>
      </x:c>
      <x:c r="W59" s="709" t="str">
        <x:v>PASS</x:v>
      </x:c>
      <x:c r="X59" s="1024" t="str">
        <x:v>/Users/blacktraker/Programming/gitproj/DV4/SuperNPUBench/outputs/matmul_other4_refresh_20261010/sweep/05_hif4_large_tn256/build/HIF4_M256_N4096_K1280_tM128_tN256_tK128/kernel/matmul/elf/kernel_matmul_matmul_lowp_HIF4_B1_M256_N4096_K1280_tM128_tN256_tK128.elf</x:v>
      </x:c>
      <x:c r="Y59" s="1024" t="str">
        <x:v>/Users/blacktraker/Programming/gitproj/DV4/SuperNPUBench/outputs/matmul_other4_refresh_20261010/sweep/05_hif4_large_tn256/logs/HIF4_M256_N4096_K1280_tM128_tN256_tK128.gfsim.log</x:v>
      </x:c>
      <x:c r="Z59" s="1024" t="str">
        <x:v>PASS；matmul_lowp；ELF=/Users/blacktraker/Programming/gitproj/DV4/SuperNPUBench/outputs/matmul_other4_refresh_20261010/sweep/05_hif4_large_tn256/build/HIF4_M256_N4096_K1280_tM128_tN256_tK128/kernel/matmul/elf/kernel_matmul_matmul_lowp_HIF4_B1_M256_N4096_K1280_tM128_tN256_tK128.elf；gfsim log=/Users/blacktraker/Programming/gitproj/DV4/SuperNPUBench/outputs/matmul_other4_refresh_20261010/sweep/05_hif4_large_tn256/logs/HIF4_M256_N4096_K1280_tM128_tN256_tK128.gfsim.log</x:v>
      </x:c>
      <x:c r="AA59" s="1024"/>
      <x:c r="AB59" s="1024" t="str">
        <x:v>matmul_lowp; tM=128; tN=256; tK=128</x:v>
      </x:c>
      <x:c r="AC59" s="709" t="str">
        <x:v>否</x:v>
      </x:c>
    </x:row>
    <x:row r="60" ht="31.5" customHeight="1">
      <x:c r="A60" s="980" t="str">
        <x:v>matmul (ubm)</x:v>
      </x:c>
      <x:c r="B60" s="980" t="str">
        <x:v>HIF4</x:v>
      </x:c>
      <x:c r="C60" s="987" t="n">
        <x:v>256</x:v>
      </x:c>
      <x:c r="D60" s="987" t="n">
        <x:v>4096</x:v>
      </x:c>
      <x:c r="E60" s="987" t="n">
        <x:v>1280</x:v>
      </x:c>
      <x:c r="F60" s="980" t="str">
        <x:v>[256,4096,1280]</x:v>
      </x:c>
      <x:c r="G60" s="980" t="str">
        <x:v>B-major</x:v>
      </x:c>
      <x:c r="H60" s="980" t="str">
        <x:v>matmul_lowp</x:v>
      </x:c>
      <x:c r="I60" s="987" t="n">
        <x:v>128</x:v>
      </x:c>
      <x:c r="J60" s="987" t="n">
        <x:v>256</x:v>
      </x:c>
      <x:c r="K60" s="987" t="n">
        <x:v>256</x:v>
      </x:c>
      <x:c r="L60" s="1017" t="n">
        <x:v>32</x:v>
      </x:c>
      <x:c r="M60" s="1017" t="n">
        <x:v>64</x:v>
      </x:c>
      <x:c r="N60" s="1017" t="n">
        <x:v>144</x:v>
      </x:c>
      <x:c r="O60" s="987" t="n">
        <x:v>379175</x:v>
      </x:c>
      <x:c r="P60" s="1018" t="n">
        <x:v>236.984375</x:v>
      </x:c>
      <x:c r="Q60" s="987" t="n">
        <x:v>16384</x:v>
      </x:c>
      <x:c r="R60" s="987" t="n">
        <x:v>81920</x:v>
      </x:c>
      <x:c r="S60" s="1019" t="n">
        <x:v>0.21604799894507812</x:v>
      </x:c>
      <x:c r="T60" s="1017" t="n">
        <x:v>288</x:v>
      </x:c>
      <x:c r="U60" s="1017" t="n">
        <x:v>256</x:v>
      </x:c>
      <x:c r="V60" s="1019" t="n">
        <x:v>0.4444444444444444</x:v>
      </x:c>
      <x:c r="W60" s="727" t="str">
        <x:v>PASS</x:v>
      </x:c>
      <x:c r="X60" s="1025" t="str">
        <x:v>/Users/blacktraker/Programming/gitproj/DV4/SuperNPUBench/outputs/matmul_other4_refresh_20261010/sweep/05_hif4_large_tn256/build/HIF4_M256_N4096_K1280_tM128_tN256_tK256/kernel/matmul/elf/kernel_matmul_matmul_lowp_HIF4_B1_M256_N4096_K1280_tM128_tN256_tK256.elf</x:v>
      </x:c>
      <x:c r="Y60" s="1025" t="str">
        <x:v>/Users/blacktraker/Programming/gitproj/DV4/SuperNPUBench/outputs/matmul_other4_refresh_20261010/sweep/05_hif4_large_tn256/logs/HIF4_M256_N4096_K1280_tM128_tN256_tK256.gfsim.log</x:v>
      </x:c>
      <x:c r="Z60" s="1025" t="str">
        <x:v>PASS；matmul_lowp；ELF=/Users/blacktraker/Programming/gitproj/DV4/SuperNPUBench/outputs/matmul_other4_refresh_20261010/sweep/05_hif4_large_tn256/build/HIF4_M256_N4096_K1280_tM128_tN256_tK256/kernel/matmul/elf/kernel_matmul_matmul_lowp_HIF4_B1_M256_N4096_K1280_tM128_tN256_tK256.elf；gfsim log=/Users/blacktraker/Programming/gitproj/DV4/SuperNPUBench/outputs/matmul_other4_refresh_20261010/sweep/05_hif4_large_tn256/logs/HIF4_M256_N4096_K1280_tM128_tN256_tK256.gfsim.log</x:v>
      </x:c>
      <x:c r="AA60" s="1025"/>
      <x:c r="AB60" s="1025" t="str">
        <x:v>matmul_lowp; tM=128; tN=256; tK=256</x:v>
      </x:c>
      <x:c r="AC60" s="727" t="str">
        <x:v>否</x:v>
      </x:c>
    </x:row>
  </x:sheetData>
  <x:mergeCells>
    <x:mergeCell ref="A6:G6"/>
    <x:mergeCell ref="H6:N6"/>
    <x:mergeCell ref="O6:V6"/>
    <x:mergeCell ref="W6:AC6"/>
    <x:mergeCell ref="AA8:AA60"/>
  </x:mergeCells>
  <x:pageMargins left="0.7" right="0.7" top="0.75" bottom="0.75" header="0.3" footer="0.3"/>
</x:worksheet>
</file>