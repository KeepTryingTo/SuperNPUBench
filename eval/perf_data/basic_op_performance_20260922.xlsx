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ff1050aff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汇总" sheetId="1" r:id="R097eddc69cbc4883"/>
    <x:sheet xmlns:r="http://schemas.openxmlformats.org/officeDocument/2006/relationships" name="原始计数器" sheetId="2" r:id="Rfceb5298628a4ae1"/>
    <x:sheet xmlns:r="http://schemas.openxmlformats.org/officeDocument/2006/relationships" name="复现信息" sheetId="3" r:id="R7bca93fee0e9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4"/>
      <x:color rgb="FF17365D"/>
      <x:name val="Arial"/>
    </x:font>
    <x:font>
      <x:i/>
      <x:sz val="9"/>
      <x:color rgb="FF666666"/>
      <x:name val="Arial"/>
    </x:font>
    <x:font>
      <x:sz val="9"/>
      <x:name val="Arial"/>
    </x:font>
    <x:font>
      <x:b/>
      <x:sz val="9"/>
      <x:color rgb="FFFFFFFF"/>
      <x:name val="Arial"/>
    </x:font>
    <x:font>
      <x:b/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7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/>
    </x:xf>
    <x:xf numFmtId="0" fontId="4" fillId="3" borderId="9" xfId="0" applyNumberFormat="1" applyFont="1" applyFill="1" applyBorder="1" applyAlignment="1">
      <x:alignment horizontal="center"/>
    </x:xf>
    <x:xf numFmtId="0" fontId="4" fillId="3" borderId="7" xfId="0" applyNumberFormat="1" applyFont="1" applyFill="1" applyBorder="1" applyAlignment="1">
      <x:alignment horizontal="center"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/>
    <x:xf numFmtId="0" fontId="3" fillId="0" borderId="2" xfId="0" applyNumberFormat="1" applyFont="1" applyFill="1" applyBorder="1"/>
    <x:xf numFmtId="0" fontId="3" fillId="0" borderId="5" xfId="0" applyNumberFormat="1" applyFont="1" applyFill="1" applyBorder="1" applyAlignment="1">
      <x:alignment horizontal="right"/>
    </x:xf>
    <x:xf numFmtId="0" fontId="3" fillId="0" borderId="10" xfId="0" applyNumberFormat="1" applyFont="1" applyFill="1" applyBorder="1" applyAlignment="1">
      <x:alignment horizontal="right"/>
    </x:xf>
    <x:xf numFmtId="0" fontId="3" fillId="0" borderId="2" xfId="0" applyNumberFormat="1" applyFont="1" applyFill="1" applyBorder="1" applyAlignment="1">
      <x:alignment horizontal="right"/>
    </x:xf>
    <x:xf numFmtId="0" fontId="3" fillId="0" borderId="5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 applyAlignment="1">
      <x:alignment horizontal="center"/>
    </x:xf>
    <x:xf numFmtId="200" fontId="3" fillId="0" borderId="5" xfId="0" applyNumberFormat="1" applyFont="1" applyFill="1" applyBorder="1"/>
    <x:xf numFmtId="200" fontId="3" fillId="0" borderId="10" xfId="0" applyNumberFormat="1" applyFont="1" applyFill="1" applyBorder="1"/>
    <x:xf numFmtId="200" fontId="3" fillId="0" borderId="2" xfId="0" applyNumberFormat="1" applyFont="1" applyFill="1" applyBorder="1"/>
    <x:xf numFmtId="0" fontId="3" fillId="0" borderId="5" xfId="0" applyNumberFormat="1" applyFont="1" applyFill="1" applyBorder="1" applyAlignment="1">
      <x:alignment horizontal="right" vertical="center"/>
    </x:xf>
    <x:xf numFmtId="0" fontId="3" fillId="0" borderId="5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horizontal="right"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horizontal="center" vertical="center"/>
    </x:xf>
    <x:xf numFmtId="200" fontId="3" fillId="0" borderId="1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right"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center" vertical="center"/>
    </x:xf>
    <x:xf numFmtId="200" fontId="3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17365D"/>
      </x:font>
      <x:fill>
        <x:patternFill>
          <x:bgColor rgb="FFEAF2F8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a6afff07fe4b44" /><Relationship Type="http://schemas.openxmlformats.org/officeDocument/2006/relationships/theme" Target="/xl/theme/theme1.xml" Id="R08232aaa74dd4760" /><Relationship Type="http://schemas.openxmlformats.org/officeDocument/2006/relationships/sharedStrings" Target="/xl/sharedStrings.xml" Id="Ref6ed17c8ce94c38" /><Relationship Type="http://schemas.openxmlformats.org/officeDocument/2006/relationships/worksheet" Target="/xl/worksheets/sheet1.xml" Id="R097eddc69cbc4883" /><Relationship Type="http://schemas.openxmlformats.org/officeDocument/2006/relationships/worksheet" Target="/xl/worksheets/sheet2.xml" Id="Rfceb5298628a4ae1" /><Relationship Type="http://schemas.openxmlformats.org/officeDocument/2006/relationships/worksheet" Target="/xl/worksheets/sheet3.xml" Id="R7bca93fee0e946e8" /></Relationships>
</file>

<file path=xl/tables/table1.xml><?xml version="1.0" encoding="utf-8"?>
<x:table xmlns:x="http://schemas.openxmlformats.org/spreadsheetml/2006/main" id="1" name="NewShapePerfTable" displayName="NewShapePerfTable" ref="A7:N26" headerRowCount="1" totalsRowCount="0" totalsRowShown="0">
  <x:tableColumns count="14">
    <x:tableColumn id="1" name="ID"/>
    <x:tableColumn id="2" name="算子族"/>
    <x:tableColumn id="3" name="Testcase"/>
    <x:tableColumn id="4" name="实现/变体"/>
    <x:tableColumn id="5" name="数据类型"/>
    <x:tableColumn id="6" name="输入 Shape"/>
    <x:tableColumn id="7" name="输出 Shape"/>
    <x:tableColumn id="8" name="Axis / Perm"/>
    <x:tableColumn id="9" name="Tile 配置"/>
    <x:tableColumn id="10" name="Global 配置"/>
    <x:tableColumn id="11" name="one-level 实现"/>
    <x:tableColumn id="12" name="状态"/>
    <x:tableColumn id="13" name="Total Cycles"/>
    <x:tableColumn id="14" name="失败原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ShapeRawCounters" displayName="NewShapeRawCounters" ref="A1:L20" headerRowCount="1" totalsRowCount="0" totalsRowShown="0">
  <x:tableColumns count="12">
    <x:tableColumn id="1" name="ID"/>
    <x:tableColumn id="2" name="状态"/>
    <x:tableColumn id="3" name="Total Cycles"/>
    <x:tableColumn id="4" name="Cube Active"/>
    <x:tableColumn id="5" name="Vector Active"/>
    <x:tableColumn id="6" name="TLSU Active"/>
    <x:tableColumn id="7" name="Cube Busy PE-sum"/>
    <x:tableColumn id="8" name="Vector Busy PE-sum"/>
    <x:tableColumn id="9" name="TLSU Busy PE-sum"/>
    <x:tableColumn id="10" name="Cube Tileops"/>
    <x:tableColumn id="11" name="Vector Tileops"/>
    <x:tableColumn id="12" name="TLSU Tileop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productionEvidence" displayName="ReproductionEvidence" ref="A11:F30" headerRowCount="1" totalsRowCount="0" totalsRowShown="0">
  <x:tableColumns count="6">
    <x:tableColumn id="1" name="ID"/>
    <x:tableColumn id="2" name="状态"/>
    <x:tableColumn id="3" name="one-level 实现"/>
    <x:tableColumn id="4" name="ELF"/>
    <x:tableColumn id="5" name="Log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2249df842c4e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bd0cbed3cc41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b81b58e58a49b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14" hidden="0" customWidth="1"/>
    <x:col min="3" max="3" width="24" hidden="0" customWidth="1"/>
    <x:col min="4" max="4" width="20" hidden="0" customWidth="1"/>
    <x:col min="5" max="5" width="19" hidden="0" customWidth="1"/>
    <x:col min="6" max="6" width="22" hidden="0" customWidth="1"/>
    <x:col min="7" max="7" width="22" hidden="0" customWidth="1"/>
    <x:col min="8" max="8" width="21" hidden="0" customWidth="1"/>
    <x:col min="9" max="9" width="22" hidden="0" customWidth="1"/>
    <x:col min="10" max="10" width="22" hidden="0" customWidth="1"/>
    <x:col min="11" max="11" width="29" hidden="0" customWidth="1"/>
    <x:col min="12" max="12" width="24" hidden="0" customWidth="1"/>
    <x:col min="13" max="13" width="15" hidden="0" customWidth="1"/>
    <x:col min="14" max="14" width="64" hidden="0" customWidth="1"/>
  </x:cols>
  <x:sheetData>
    <x:row r="2">
      <x:c r="A2" s="2" t="str">
        <x:v>one-level basic_op 新 Shape 性能数据（不含 FA / Matmul）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3" t="str">
        <x:v>全部结果来自 one-level-arch。空白 Total Cycles 表示运行失败、实现缺失或配置不完整。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13" t="str">
        <x:v>配置数</x:v>
      </x:c>
      <x:c r="B4" s="14" t="n">
        <x:f>COUNTA(A8:A26)</x:f>
        <x:v>19</x:v>
      </x:c>
      <x:c r="C4" s="14" t="str">
        <x:v>有效性能</x:v>
      </x:c>
      <x:c r="D4" s="14" t="n">
        <x:f>COUNTIF(L8:L26,"PASS")</x:f>
        <x:v>18</x:v>
      </x:c>
      <x:c r="E4" s="14" t="str">
        <x:v>运行失败</x:v>
      </x:c>
      <x:c r="F4" s="14" t="n">
        <x:f>COUNTIF(L8:L26,"RUN_FAIL")</x:f>
        <x:v>0</x:v>
      </x:c>
      <x:c r="G4" s="14" t="str">
        <x:v>实现缺失</x:v>
      </x:c>
      <x:c r="H4" s="14" t="n">
        <x:f>COUNTIF(L8:L26,"IMPLEMENTATION_MISSING")</x:f>
        <x:v>0</x:v>
      </x:c>
      <x:c r="I4" s="14" t="str">
        <x:v>配置不完整</x:v>
      </x:c>
      <x:c r="J4" s="14" t="n">
        <x:f>COUNTIF(L8:L26,"CONFIG_INCOMPLETE")</x:f>
        <x:v>1</x:v>
      </x:c>
      <x:c r="K4" s="14" t="str">
        <x:v>编译失败</x:v>
      </x:c>
      <x:c r="L4" s="15" t="n">
        <x:f>COUNTIF(L8:L26,"COMPILE_FAIL")</x:f>
        <x:v>0</x:v>
      </x:c>
    </x:row>
    <x:row r="5">
      <x:c r="A5" s="16" t="str">
        <x:v>仓库 commit</x:v>
      </x:c>
      <x:c r="B5" s="17" t="str">
        <x:v>8bb916b559c3</x:v>
      </x:c>
      <x:c r="C5" s="17" t="str">
        <x:v>工具链 commit</x:v>
      </x:c>
      <x:c r="D5" s="17" t="str">
        <x:v>e6a31efb4cfb</x:v>
      </x:c>
      <x:c r="E5" s="17" t="str">
        <x:v>模型 commit</x:v>
      </x:c>
      <x:c r="F5" s="17" t="str">
        <x:v>25bc5757a7ca</x:v>
      </x:c>
      <x:c r="G5" s="17" t="str">
        <x:v>架构</x:v>
      </x:c>
      <x:c r="H5" s="17" t="str">
        <x:v>one-level-arch</x:v>
      </x:c>
      <x:c r="I5" s="17" t="str">
        <x:v>日期</x:v>
      </x:c>
      <x:c r="J5" s="17" t="str">
        <x:v>2026-09-23</x:v>
      </x:c>
      <x:c r="K5" s="17" t="str">
        <x:v>计时模型</x:v>
      </x:c>
      <x:c r="L5" s="18" t="str">
        <x:v>gfsim / model-main</x:v>
      </x:c>
    </x:row>
    <x:row r="7">
      <x:c r="A7" s="27" t="str">
        <x:v>ID</x:v>
      </x:c>
      <x:c r="B7" s="28" t="str">
        <x:v>算子族</x:v>
      </x:c>
      <x:c r="C7" s="28" t="str">
        <x:v>Testcase</x:v>
      </x:c>
      <x:c r="D7" s="28" t="str">
        <x:v>实现/变体</x:v>
      </x:c>
      <x:c r="E7" s="28" t="str">
        <x:v>数据类型</x:v>
      </x:c>
      <x:c r="F7" s="28" t="str">
        <x:v>输入 Shape</x:v>
      </x:c>
      <x:c r="G7" s="28" t="str">
        <x:v>输出 Shape</x:v>
      </x:c>
      <x:c r="H7" s="28" t="str">
        <x:v>Axis / Perm</x:v>
      </x:c>
      <x:c r="I7" s="28" t="str">
        <x:v>Tile 配置</x:v>
      </x:c>
      <x:c r="J7" s="28" t="str">
        <x:v>Global 配置</x:v>
      </x:c>
      <x:c r="K7" s="28" t="str">
        <x:v>one-level 实现</x:v>
      </x:c>
      <x:c r="L7" s="28" t="str">
        <x:v>状态</x:v>
      </x:c>
      <x:c r="M7" s="28" t="str">
        <x:v>Total Cycles</x:v>
      </x:c>
      <x:c r="N7" s="29" t="str">
        <x:v>失败原因</x:v>
      </x:c>
    </x:row>
    <x:row r="8">
      <x:c r="A8" s="41" t="n">
        <x:v>1</x:v>
      </x:c>
      <x:c r="B8" s="17" t="str">
        <x:v>element_wise</x:v>
      </x:c>
      <x:c r="C8" s="17" t="str">
        <x:v>gelu</x:v>
      </x:c>
      <x:c r="D8" s="17" t="str">
        <x:v>exact</x:v>
      </x:c>
      <x:c r="E8" s="17" t="str">
        <x:v>__bf16</x:v>
      </x:c>
      <x:c r="F8" s="17" t="str">
        <x:v>[24,8,1024]</x:v>
      </x:c>
      <x:c r="G8" s="17" t="str">
        <x:v>[24,8,1024]</x:v>
      </x:c>
      <x:c r="H8" s="17" t="str">
        <x:v>elementwise</x:v>
      </x:c>
      <x:c r="I8" s="17" t="str">
        <x:v>tM=2048</x:v>
      </x:c>
      <x:c r="J8" s="17" t="str">
        <x:v>elements=196608</x:v>
      </x:c>
      <x:c r="K8" s="17" t="str">
        <x:v>one_level_gelu</x:v>
      </x:c>
      <x:c r="L8" s="42" t="str">
        <x:v>PASS</x:v>
      </x:c>
      <x:c r="M8" s="43" t="n">
        <x:v>32091</x:v>
      </x:c>
      <x:c r="N8" s="17" t="str"/>
    </x:row>
    <x:row r="9">
      <x:c r="A9" s="44" t="n">
        <x:v>2</x:v>
      </x:c>
      <x:c r="B9" s="45" t="str">
        <x:v>reduction</x:v>
      </x:c>
      <x:c r="C9" s="45" t="str">
        <x:v>reducesum_row</x:v>
      </x:c>
      <x:c r="D9" s="45" t="str">
        <x:v>last_dim</x:v>
      </x:c>
      <x:c r="E9" s="45" t="str">
        <x:v>int32_t</x:v>
      </x:c>
      <x:c r="F9" s="45" t="str">
        <x:v>[1024,8192]</x:v>
      </x:c>
      <x:c r="G9" s="45" t="str">
        <x:v>[1024]</x:v>
      </x:c>
      <x:c r="H9" s="45" t="str">
        <x:v>axis=-1</x:v>
      </x:c>
      <x:c r="I9" s="45" t="str">
        <x:v>tM=16,tN=256</x:v>
      </x:c>
      <x:c r="J9" s="45" t="str">
        <x:v>GM=16,GN=8192</x:v>
      </x:c>
      <x:c r="K9" s="45" t="str">
        <x:v>one_level_row_reduction</x:v>
      </x:c>
      <x:c r="L9" s="46" t="str">
        <x:v>PASS</x:v>
      </x:c>
      <x:c r="M9" s="47" t="n">
        <x:v>117607</x:v>
      </x:c>
      <x:c r="N9" s="45" t="str"/>
    </x:row>
    <x:row r="10">
      <x:c r="A10" s="44" t="n">
        <x:v>3</x:v>
      </x:c>
      <x:c r="B10" s="45" t="str">
        <x:v>reduction</x:v>
      </x:c>
      <x:c r="C10" s="45" t="str">
        <x:v>reducemax_3dcol</x:v>
      </x:c>
      <x:c r="D10" s="45" t="str">
        <x:v>ARA_2_chip_v121</x:v>
      </x:c>
      <x:c r="E10" s="45" t="str">
        <x:v>__half</x:v>
      </x:c>
      <x:c r="F10" s="45" t="str">
        <x:v>[381,120,8]</x:v>
      </x:c>
      <x:c r="G10" s="45" t="str">
        <x:v>[381,1,8]</x:v>
      </x:c>
      <x:c r="H10" s="45" t="str">
        <x:v>axis=1</x:v>
      </x:c>
      <x:c r="I10" s="45" t="str">
        <x:v>tM=128,tN=32</x:v>
      </x:c>
      <x:c r="J10" s="45" t="str">
        <x:v>Num=381,GM=120,GN=8</x:v>
      </x:c>
      <x:c r="K10" s="45" t="str">
        <x:v>one_level_tcolmax</x:v>
      </x:c>
      <x:c r="L10" s="46" t="str">
        <x:v>PASS</x:v>
      </x:c>
      <x:c r="M10" s="47" t="n">
        <x:v>10557</x:v>
      </x:c>
      <x:c r="N10" s="45" t="str"/>
    </x:row>
    <x:row r="11">
      <x:c r="A11" s="44" t="n">
        <x:v>4</x:v>
      </x:c>
      <x:c r="B11" s="45" t="str">
        <x:v>reduction</x:v>
      </x:c>
      <x:c r="C11" s="45" t="str">
        <x:v>reducesum_3dcol</x:v>
      </x:c>
      <x:c r="D11" s="45" t="str">
        <x:v>ARA_2_chip_v121</x:v>
      </x:c>
      <x:c r="E11" s="45" t="str">
        <x:v>__half</x:v>
      </x:c>
      <x:c r="F11" s="45" t="str">
        <x:v>[381,120,8]</x:v>
      </x:c>
      <x:c r="G11" s="45" t="str">
        <x:v>[381,1,8]</x:v>
      </x:c>
      <x:c r="H11" s="45" t="str">
        <x:v>axis=1</x:v>
      </x:c>
      <x:c r="I11" s="45" t="str">
        <x:v>tM=128,tN=32</x:v>
      </x:c>
      <x:c r="J11" s="45" t="str">
        <x:v>Num=381,GM=120,GN=8</x:v>
      </x:c>
      <x:c r="K11" s="45" t="str">
        <x:v>one_level_tcolsum</x:v>
      </x:c>
      <x:c r="L11" s="46" t="str">
        <x:v>PASS</x:v>
      </x:c>
      <x:c r="M11" s="47" t="n">
        <x:v>10893</x:v>
      </x:c>
      <x:c r="N11" s="45" t="str"/>
    </x:row>
    <x:row r="12">
      <x:c r="A12" s="44" t="n">
        <x:v>5</x:v>
      </x:c>
      <x:c r="B12" s="45" t="str">
        <x:v>reduction</x:v>
      </x:c>
      <x:c r="C12" s="45" t="str">
        <x:v>reducesum_col</x:v>
      </x:c>
      <x:c r="D12" s="45" t="str">
        <x:v>first_dim</x:v>
      </x:c>
      <x:c r="E12" s="45" t="str">
        <x:v>__fp32</x:v>
      </x:c>
      <x:c r="F12" s="45" t="str">
        <x:v>[8192,1024]</x:v>
      </x:c>
      <x:c r="G12" s="45" t="str">
        <x:v>[1024]</x:v>
      </x:c>
      <x:c r="H12" s="45" t="str">
        <x:v>axis=0</x:v>
      </x:c>
      <x:c r="I12" s="45" t="str">
        <x:v>tM=256,tN=64</x:v>
      </x:c>
      <x:c r="J12" s="45" t="str">
        <x:v>GM=2048,GN=64</x:v>
      </x:c>
      <x:c r="K12" s="45" t="str">
        <x:v>one_level_tcolsum</x:v>
      </x:c>
      <x:c r="L12" s="46" t="str">
        <x:v>PASS</x:v>
      </x:c>
      <x:c r="M12" s="47" t="n">
        <x:v>117327</x:v>
      </x:c>
      <x:c r="N12" s="45" t="str"/>
    </x:row>
    <x:row r="13">
      <x:c r="A13" s="44" t="n">
        <x:v>6</x:v>
      </x:c>
      <x:c r="B13" s="45" t="str">
        <x:v>reduction</x:v>
      </x:c>
      <x:c r="C13" s="45" t="str">
        <x:v>reducemax_row</x:v>
      </x:c>
      <x:c r="D13" s="45" t="str">
        <x:v>last_dim</x:v>
      </x:c>
      <x:c r="E13" s="45" t="str">
        <x:v>__fp32</x:v>
      </x:c>
      <x:c r="F13" s="45" t="str">
        <x:v>[1024,8192]</x:v>
      </x:c>
      <x:c r="G13" s="45" t="str">
        <x:v>[1024]</x:v>
      </x:c>
      <x:c r="H13" s="45" t="str">
        <x:v>axis=-1</x:v>
      </x:c>
      <x:c r="I13" s="45" t="str">
        <x:v>tM=16,tN=256,reduceN=32</x:v>
      </x:c>
      <x:c r="J13" s="45" t="str">
        <x:v>GM=16,GN=8192</x:v>
      </x:c>
      <x:c r="K13" s="45" t="str">
        <x:v>one_level_row_reduction</x:v>
      </x:c>
      <x:c r="L13" s="46" t="str">
        <x:v>PASS</x:v>
      </x:c>
      <x:c r="M13" s="47" t="n">
        <x:v>312787</x:v>
      </x:c>
      <x:c r="N13" s="45" t="str"/>
    </x:row>
    <x:row r="14">
      <x:c r="A14" s="44" t="n">
        <x:v>7</x:v>
      </x:c>
      <x:c r="B14" s="45" t="str">
        <x:v>reduction</x:v>
      </x:c>
      <x:c r="C14" s="45" t="str">
        <x:v>reducemax_col</x:v>
      </x:c>
      <x:c r="D14" s="45" t="str">
        <x:v>first_dim</x:v>
      </x:c>
      <x:c r="E14" s="45" t="str">
        <x:v>__fp32</x:v>
      </x:c>
      <x:c r="F14" s="45" t="str">
        <x:v>[8192,1024]</x:v>
      </x:c>
      <x:c r="G14" s="45" t="str">
        <x:v>[1024]</x:v>
      </x:c>
      <x:c r="H14" s="45" t="str">
        <x:v>axis=0</x:v>
      </x:c>
      <x:c r="I14" s="45" t="str">
        <x:v>tM=256,tN=64</x:v>
      </x:c>
      <x:c r="J14" s="45" t="str">
        <x:v>GM=2048,GN=64</x:v>
      </x:c>
      <x:c r="K14" s="45" t="str">
        <x:v>one_level_tcolmax</x:v>
      </x:c>
      <x:c r="L14" s="46" t="str">
        <x:v>PASS</x:v>
      </x:c>
      <x:c r="M14" s="47" t="n">
        <x:v>117164</x:v>
      </x:c>
      <x:c r="N14" s="45" t="str"/>
    </x:row>
    <x:row r="15">
      <x:c r="A15" s="44" t="n">
        <x:v>8</x:v>
      </x:c>
      <x:c r="B15" s="45" t="str">
        <x:v>broadcast</x:v>
      </x:c>
      <x:c r="C15" s="45" t="str">
        <x:v>broadcast</x:v>
      </x:c>
      <x:c r="D15" s="45" t="str">
        <x:v>MGATHER</x:v>
      </x:c>
      <x:c r="E15" s="45" t="str">
        <x:v>__half</x:v>
      </x:c>
      <x:c r="F15" s="45" t="str">
        <x:v>[1334,1]</x:v>
      </x:c>
      <x:c r="G15" s="45" t="str">
        <x:v>[1334,129]</x:v>
      </x:c>
      <x:c r="H15" s="45" t="str">
        <x:v>dim1:1-&gt;129</x:v>
      </x:c>
      <x:c r="I15" s="45" t="str">
        <x:v>tM=2048,PE=2</x:v>
      </x:c>
      <x:c r="J15" s="45" t="str"/>
      <x:c r="K15" s="45" t="str">
        <x:v>one_level_generic_mgather</x:v>
      </x:c>
      <x:c r="L15" s="46" t="str">
        <x:v>PASS</x:v>
      </x:c>
      <x:c r="M15" s="47" t="n">
        <x:v>22641</x:v>
      </x:c>
      <x:c r="N15" s="45" t="str"/>
    </x:row>
    <x:row r="16">
      <x:c r="A16" s="44" t="n">
        <x:v>9</x:v>
      </x:c>
      <x:c r="B16" s="45" t="str">
        <x:v>broadcast</x:v>
      </x:c>
      <x:c r="C16" s="45" t="str">
        <x:v>broadcast</x:v>
      </x:c>
      <x:c r="D16" s="45" t="str">
        <x:v>VEC</x:v>
      </x:c>
      <x:c r="E16" s="45" t="str">
        <x:v>__half</x:v>
      </x:c>
      <x:c r="F16" s="45" t="str">
        <x:v>[1334,1]</x:v>
      </x:c>
      <x:c r="G16" s="45" t="str">
        <x:v>[1334,129]</x:v>
      </x:c>
      <x:c r="H16" s="45" t="str">
        <x:v>dim1:1-&gt;129</x:v>
      </x:c>
      <x:c r="I16" s="45" t="str">
        <x:v>tM=2048,tile_rows=16,PE=4</x:v>
      </x:c>
      <x:c r="J16" s="45" t="str"/>
      <x:c r="K16" s="45" t="str">
        <x:v>one_level_vec_load_store</x:v>
      </x:c>
      <x:c r="L16" s="46" t="str">
        <x:v>PASS</x:v>
      </x:c>
      <x:c r="M16" s="47" t="n">
        <x:v>63152</x:v>
      </x:c>
      <x:c r="N16" s="45" t="str"/>
    </x:row>
    <x:row r="17">
      <x:c r="A17" s="44" t="n">
        <x:v>10</x:v>
      </x:c>
      <x:c r="B17" s="45" t="str">
        <x:v>broadcast</x:v>
      </x:c>
      <x:c r="C17" s="45" t="str">
        <x:v>broadcast</x:v>
      </x:c>
      <x:c r="D17" s="45" t="str">
        <x:v>MGATHER</x:v>
      </x:c>
      <x:c r="E17" s="45" t="str">
        <x:v>__half</x:v>
      </x:c>
      <x:c r="F17" s="45" t="str">
        <x:v>[1280,1,49]</x:v>
      </x:c>
      <x:c r="G17" s="45" t="str">
        <x:v>[1280,8,49]</x:v>
      </x:c>
      <x:c r="H17" s="45" t="str">
        <x:v>dim1:1-&gt;8</x:v>
      </x:c>
      <x:c r="I17" s="45" t="str">
        <x:v>tM=2048,PE=4</x:v>
      </x:c>
      <x:c r="J17" s="45" t="str"/>
      <x:c r="K17" s="45" t="str">
        <x:v>one_level_generic_mgather</x:v>
      </x:c>
      <x:c r="L17" s="46" t="str">
        <x:v>PASS</x:v>
      </x:c>
      <x:c r="M17" s="47" t="n">
        <x:v>49465</x:v>
      </x:c>
      <x:c r="N17" s="45" t="str"/>
    </x:row>
    <x:row r="18">
      <x:c r="A18" s="44" t="n">
        <x:v>11</x:v>
      </x:c>
      <x:c r="B18" s="45" t="str">
        <x:v>broadcast</x:v>
      </x:c>
      <x:c r="C18" s="45" t="str">
        <x:v>broadcast</x:v>
      </x:c>
      <x:c r="D18" s="45" t="str">
        <x:v>MGATHER</x:v>
      </x:c>
      <x:c r="E18" s="45" t="str">
        <x:v>__half</x:v>
      </x:c>
      <x:c r="F18" s="45" t="str">
        <x:v>[1,8192,1,16]</x:v>
      </x:c>
      <x:c r="G18" s="45" t="str">
        <x:v>[1,8192,8,16]</x:v>
      </x:c>
      <x:c r="H18" s="45" t="str">
        <x:v>dim2:1-&gt;8</x:v>
      </x:c>
      <x:c r="I18" s="45" t="str">
        <x:v>tM=2048,PE=4</x:v>
      </x:c>
      <x:c r="J18" s="45" t="str"/>
      <x:c r="K18" s="45" t="str">
        <x:v>one_level_generic_mgather</x:v>
      </x:c>
      <x:c r="L18" s="46" t="str">
        <x:v>PASS</x:v>
      </x:c>
      <x:c r="M18" s="47" t="n">
        <x:v>134715</x:v>
      </x:c>
      <x:c r="N18" s="45" t="str"/>
    </x:row>
    <x:row r="19">
      <x:c r="A19" s="44" t="n">
        <x:v>12</x:v>
      </x:c>
      <x:c r="B19" s="45" t="str">
        <x:v>broadcast</x:v>
      </x:c>
      <x:c r="C19" s="45" t="str">
        <x:v>broadcast</x:v>
      </x:c>
      <x:c r="D19" s="45" t="str">
        <x:v>VEC</x:v>
      </x:c>
      <x:c r="E19" s="45" t="str">
        <x:v>__half</x:v>
      </x:c>
      <x:c r="F19" s="45" t="str">
        <x:v>[1,8192,1,16]</x:v>
      </x:c>
      <x:c r="G19" s="45" t="str">
        <x:v>[1,8192,8,16]</x:v>
      </x:c>
      <x:c r="H19" s="45" t="str">
        <x:v>dim2:1-&gt;8</x:v>
      </x:c>
      <x:c r="I19" s="45" t="str">
        <x:v>tM=2048,tile_batches=16,PE=4</x:v>
      </x:c>
      <x:c r="J19" s="45" t="str"/>
      <x:c r="K19" s="45" t="str">
        <x:v>one_level_vec_load_store</x:v>
      </x:c>
      <x:c r="L19" s="46" t="str">
        <x:v>PASS</x:v>
      </x:c>
      <x:c r="M19" s="47" t="n">
        <x:v>29203</x:v>
      </x:c>
      <x:c r="N19" s="45" t="str"/>
    </x:row>
    <x:row r="20">
      <x:c r="A20" s="44" t="n">
        <x:v>13</x:v>
      </x:c>
      <x:c r="B20" s="45" t="str">
        <x:v>transpose</x:v>
      </x:c>
      <x:c r="C20" s="45" t="str">
        <x:v>transpose_nd</x:v>
      </x:c>
      <x:c r="D20" s="45" t="str">
        <x:v>benchmark_007</x:v>
      </x:c>
      <x:c r="E20" s="45" t="str">
        <x:v>int16_t</x:v>
      </x:c>
      <x:c r="F20" s="45" t="str">
        <x:v>[1,8,4096,3]</x:v>
      </x:c>
      <x:c r="G20" s="45" t="str">
        <x:v>[1,8,3,4096]</x:v>
      </x:c>
      <x:c r="H20" s="45" t="str">
        <x:v>perm=[0,1,3,2]</x:v>
      </x:c>
      <x:c r="I20" s="45" t="str">
        <x:v>tM=512,PE=1</x:v>
      </x:c>
      <x:c r="J20" s="45" t="str"/>
      <x:c r="K20" s="45" t="str">
        <x:v>one_level_nd_mgather</x:v>
      </x:c>
      <x:c r="L20" s="46" t="str">
        <x:v>PASS</x:v>
      </x:c>
      <x:c r="M20" s="47" t="n">
        <x:v>218802</x:v>
      </x:c>
      <x:c r="N20" s="45" t="str"/>
    </x:row>
    <x:row r="21">
      <x:c r="A21" s="44" t="n">
        <x:v>14</x:v>
      </x:c>
      <x:c r="B21" s="45" t="str">
        <x:v>transpose</x:v>
      </x:c>
      <x:c r="C21" s="45" t="str">
        <x:v>transpose_nd</x:v>
      </x:c>
      <x:c r="D21" s="45" t="str">
        <x:v>benchmark_008</x:v>
      </x:c>
      <x:c r="E21" s="45" t="str">
        <x:v>int16_t</x:v>
      </x:c>
      <x:c r="F21" s="45" t="str">
        <x:v>[1476,32]</x:v>
      </x:c>
      <x:c r="G21" s="45" t="str">
        <x:v>[32,1476]</x:v>
      </x:c>
      <x:c r="H21" s="45" t="str">
        <x:v>perm=[1,0]</x:v>
      </x:c>
      <x:c r="I21" s="45" t="str">
        <x:v>tM=512,PE=1</x:v>
      </x:c>
      <x:c r="J21" s="45" t="str"/>
      <x:c r="K21" s="45" t="str">
        <x:v>one_level_nd_mgather</x:v>
      </x:c>
      <x:c r="L21" s="46" t="str">
        <x:v>PASS</x:v>
      </x:c>
      <x:c r="M21" s="47" t="n">
        <x:v>55757</x:v>
      </x:c>
      <x:c r="N21" s="45" t="str"/>
    </x:row>
    <x:row r="22">
      <x:c r="A22" s="44" t="n">
        <x:v>15</x:v>
      </x:c>
      <x:c r="B22" s="45" t="str">
        <x:v>transpose</x:v>
      </x:c>
      <x:c r="C22" s="45" t="str">
        <x:v>transpose_nd</x:v>
      </x:c>
      <x:c r="D22" s="45" t="str">
        <x:v>benchmark_079</x:v>
      </x:c>
      <x:c r="E22" s="45" t="str">
        <x:v>int16_t</x:v>
      </x:c>
      <x:c r="F22" s="45" t="str">
        <x:v>[1,8,64,4,16,7]</x:v>
      </x:c>
      <x:c r="G22" s="45" t="str">
        <x:v>[1,8,16,4,64,7]</x:v>
      </x:c>
      <x:c r="H22" s="45" t="str">
        <x:v>perm=[0,1,4,3,2,5]</x:v>
      </x:c>
      <x:c r="I22" s="45" t="str">
        <x:v>tM=512,PE=1</x:v>
      </x:c>
      <x:c r="J22" s="45" t="str"/>
      <x:c r="K22" s="45" t="str">
        <x:v>one_level_nd_mgather</x:v>
      </x:c>
      <x:c r="L22" s="46" t="str">
        <x:v>PASS</x:v>
      </x:c>
      <x:c r="M22" s="47" t="n">
        <x:v>776717</x:v>
      </x:c>
      <x:c r="N22" s="45" t="str"/>
    </x:row>
    <x:row r="23">
      <x:c r="A23" s="44" t="n">
        <x:v>16</x:v>
      </x:c>
      <x:c r="B23" s="45" t="str">
        <x:v>transpose</x:v>
      </x:c>
      <x:c r="C23" s="45" t="str">
        <x:v>transpose_nd</x:v>
      </x:c>
      <x:c r="D23" s="45" t="str">
        <x:v>benchmark_050</x:v>
      </x:c>
      <x:c r="E23" s="45" t="str">
        <x:v>int16_t</x:v>
      </x:c>
      <x:c r="F23" s="45" t="str">
        <x:v>[1,8,8,64,64]</x:v>
      </x:c>
      <x:c r="G23" s="45" t="str">
        <x:v>[1,8,64,8,64]</x:v>
      </x:c>
      <x:c r="H23" s="45" t="str">
        <x:v>perm=[0,1,3,2,4]</x:v>
      </x:c>
      <x:c r="I23" s="45" t="str">
        <x:v>tM=2048,PE=1</x:v>
      </x:c>
      <x:c r="J23" s="45" t="str"/>
      <x:c r="K23" s="45" t="str">
        <x:v>one_level_nd_mgather</x:v>
      </x:c>
      <x:c r="L23" s="46" t="str">
        <x:v>PASS</x:v>
      </x:c>
      <x:c r="M23" s="47" t="n">
        <x:v>183907</x:v>
      </x:c>
      <x:c r="N23" s="45" t="str"/>
    </x:row>
    <x:row r="24">
      <x:c r="A24" s="44" t="n">
        <x:v>17</x:v>
      </x:c>
      <x:c r="B24" s="45" t="str">
        <x:v>concat</x:v>
      </x:c>
      <x:c r="C24" s="45" t="str">
        <x:v>concat_gather</x:v>
      </x:c>
      <x:c r="D24" s="45" t="str">
        <x:v>filename_only</x:v>
      </x:c>
      <x:c r="E24" s="45" t="str">
        <x:v>not_encoded</x:v>
      </x:c>
      <x:c r="F24" s="45" t="str">
        <x:v>[1,19,257,14] (token)</x:v>
      </x:c>
      <x:c r="G24" s="45" t="str">
        <x:v>not_encoded</x:v>
      </x:c>
      <x:c r="H24" s="45" t="str">
        <x:v>not_encoded</x:v>
      </x:c>
      <x:c r="I24" s="45" t="str">
        <x:v>not_encoded</x:v>
      </x:c>
      <x:c r="J24" s="45" t="str"/>
      <x:c r="K24" s="45" t="str">
        <x:v>one_level_concat</x:v>
      </x:c>
      <x:c r="L24" s="46" t="str">
        <x:v>CONFIG_INCOMPLETE</x:v>
      </x:c>
      <x:c r="M24" s="47"/>
      <x:c r="N24" s="45" t="str">
        <x:v>filename does not encode input/output split, concat axis, dtype, or tile size</x:v>
      </x:c>
    </x:row>
    <x:row r="25">
      <x:c r="A25" s="44" t="n">
        <x:v>18</x:v>
      </x:c>
      <x:c r="B25" s="45" t="str">
        <x:v>control</x:v>
      </x:c>
      <x:c r="C25" s="45" t="str">
        <x:v>hashtable_lookup_simd</x:v>
      </x:c>
      <x:c r="D25" s="45" t="str">
        <x:v>MGATHER</x:v>
      </x:c>
      <x:c r="E25" s="45" t="str">
        <x:v>key=int64,out=int32</x:v>
      </x:c>
      <x:c r="F25" s="45" t="str">
        <x:v>[6144]</x:v>
      </x:c>
      <x:c r="G25" s="45" t="str">
        <x:v>[6144]</x:v>
      </x:c>
      <x:c r="H25" s="45" t="str">
        <x:v>linear_probe</x:v>
      </x:c>
      <x:c r="I25" s="45" t="str">
        <x:v>num_col=256 (8xM32)</x:v>
      </x:c>
      <x:c r="J25" s="45" t="str">
        <x:v>kNum=6144,MaxProbe=8,capacity=65536</x:v>
      </x:c>
      <x:c r="K25" s="45" t="str">
        <x:v>one_level_mgather_murmur</x:v>
      </x:c>
      <x:c r="L25" s="46" t="str">
        <x:v>PASS</x:v>
      </x:c>
      <x:c r="M25" s="47" t="n">
        <x:v>52080</x:v>
      </x:c>
      <x:c r="N25" s="45" t="str"/>
    </x:row>
    <x:row r="26">
      <x:c r="A26" s="48" t="n">
        <x:v>19</x:v>
      </x:c>
      <x:c r="B26" s="49" t="str">
        <x:v>control</x:v>
      </x:c>
      <x:c r="C26" s="49" t="str">
        <x:v>hashtable_lookup_simt</x:v>
      </x:c>
      <x:c r="D26" s="49" t="str">
        <x:v>SIMT</x:v>
      </x:c>
      <x:c r="E26" s="49" t="str">
        <x:v>key=int64,out=int32</x:v>
      </x:c>
      <x:c r="F26" s="49" t="str">
        <x:v>[6144]</x:v>
      </x:c>
      <x:c r="G26" s="49" t="str">
        <x:v>[6144]</x:v>
      </x:c>
      <x:c r="H26" s="49" t="str">
        <x:v>linear_probe</x:v>
      </x:c>
      <x:c r="I26" s="49" t="str">
        <x:v>threads=6144</x:v>
      </x:c>
      <x:c r="J26" s="49" t="str">
        <x:v>kNum=6144,MaxProbe=8,capacity=65536</x:v>
      </x:c>
      <x:c r="K26" s="49" t="str">
        <x:v>one_level_scalar_threads</x:v>
      </x:c>
      <x:c r="L26" s="50" t="str">
        <x:v>PASS</x:v>
      </x:c>
      <x:c r="M26" s="51" t="n">
        <x:v>124957</x:v>
      </x:c>
      <x:c r="N26" s="49" t="str"/>
    </x:row>
  </x:sheetData>
  <x:mergeCells>
    <x:mergeCell ref="A2:N2"/>
    <x:mergeCell ref="A3:N3"/>
  </x:mergeCells>
  <x:conditionalFormatting sqref="L8:L26">
    <x:cfRule type="containsText" dxfId="0" priority="1" operator="containsText" text="PASS"/>
    <x:cfRule type="containsText" dxfId="1" priority="2" operator="containsText" text="RUN_FAIL"/>
    <x:cfRule type="containsText" dxfId="2" priority="3" operator="containsText" text="COMPILE_FAIL"/>
    <x:cfRule type="containsText" dxfId="3" priority="4" operator="containsText" text="MISSING"/>
    <x:cfRule type="containsText" dxfId="4" priority="5" operator="containsText" text="INCOMPLETE"/>
  </x:conditionalFormatting>
  <x:pageMargins left="0.7" right="0.7" top="0.75" bottom="0.75" header="0.3" footer="0.3"/>
  <x:tableParts count="1">
    <x:tablePart xmlns:r="http://schemas.openxmlformats.org/officeDocument/2006/relationships" r:id="Ra22249df842c4e0d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52" t="str">
        <x:v>ID</x:v>
      </x:c>
      <x:c r="B1" s="52" t="str">
        <x:v>状态</x:v>
      </x:c>
      <x:c r="C1" s="52" t="str">
        <x:v>Total Cycles</x:v>
      </x:c>
      <x:c r="D1" s="52" t="str">
        <x:v>Cube Active</x:v>
      </x:c>
      <x:c r="E1" s="52" t="str">
        <x:v>Vector Active</x:v>
      </x:c>
      <x:c r="F1" s="52" t="str">
        <x:v>TLSU Active</x:v>
      </x:c>
      <x:c r="G1" s="52" t="str">
        <x:v>Cube Busy PE-sum</x:v>
      </x:c>
      <x:c r="H1" s="52" t="str">
        <x:v>Vector Busy PE-sum</x:v>
      </x:c>
      <x:c r="I1" s="52" t="str">
        <x:v>TLSU Busy PE-sum</x:v>
      </x:c>
      <x:c r="J1" s="52" t="str">
        <x:v>Cube Tileops</x:v>
      </x:c>
      <x:c r="K1" s="52" t="str">
        <x:v>Vector Tileops</x:v>
      </x:c>
      <x:c r="L1" s="52" t="str">
        <x:v>TLSU Tileops</x:v>
      </x:c>
    </x:row>
    <x:row r="2">
      <x:c r="A2" s="11" t="n">
        <x:v>1</x:v>
      </x:c>
      <x:c r="B2" s="11" t="str">
        <x:v>PASS</x:v>
      </x:c>
      <x:c r="C2" s="38" t="n">
        <x:v>32091</x:v>
      </x:c>
      <x:c r="D2" s="38" t="n">
        <x:v>0</x:v>
      </x:c>
      <x:c r="E2" s="38" t="n">
        <x:v>31573</x:v>
      </x:c>
      <x:c r="F2" s="38" t="n">
        <x:v>31493</x:v>
      </x:c>
      <x:c r="G2" s="38" t="n">
        <x:v>0</x:v>
      </x:c>
      <x:c r="H2" s="38" t="n">
        <x:v>355273</x:v>
      </x:c>
      <x:c r="I2" s="38" t="n">
        <x:v>31493</x:v>
      </x:c>
      <x:c r="J2" s="38" t="n">
        <x:v>0</x:v>
      </x:c>
      <x:c r="K2" s="38" t="n">
        <x:v>528</x:v>
      </x:c>
      <x:c r="L2" s="38" t="n">
        <x:v>48</x:v>
      </x:c>
    </x:row>
    <x:row r="3">
      <x:c r="A3" s="30" t="n">
        <x:v>2</x:v>
      </x:c>
      <x:c r="B3" s="30" t="str">
        <x:v>PASS</x:v>
      </x:c>
      <x:c r="C3" s="39" t="n">
        <x:v>117607</x:v>
      </x:c>
      <x:c r="D3" s="39" t="n">
        <x:v>0</x:v>
      </x:c>
      <x:c r="E3" s="39" t="n">
        <x:v>116847</x:v>
      </x:c>
      <x:c r="F3" s="39" t="n">
        <x:v>116880</x:v>
      </x:c>
      <x:c r="G3" s="39" t="n">
        <x:v>0</x:v>
      </x:c>
      <x:c r="H3" s="39" t="n">
        <x:v>1639509</x:v>
      </x:c>
      <x:c r="I3" s="39" t="n">
        <x:v>116880</x:v>
      </x:c>
      <x:c r="J3" s="39" t="n">
        <x:v>0</x:v>
      </x:c>
      <x:c r="K3" s="39" t="n">
        <x:v>1040</x:v>
      </x:c>
      <x:c r="L3" s="39" t="n">
        <x:v>528</x:v>
      </x:c>
    </x:row>
    <x:row r="4">
      <x:c r="A4" s="30" t="n">
        <x:v>3</x:v>
      </x:c>
      <x:c r="B4" s="30" t="str">
        <x:v>PASS</x:v>
      </x:c>
      <x:c r="C4" s="39" t="n">
        <x:v>10557</x:v>
      </x:c>
      <x:c r="D4" s="39" t="n">
        <x:v>0</x:v>
      </x:c>
      <x:c r="E4" s="39" t="n">
        <x:v>10095</x:v>
      </x:c>
      <x:c r="F4" s="39" t="n">
        <x:v>10193</x:v>
      </x:c>
      <x:c r="G4" s="39" t="n">
        <x:v>0</x:v>
      </x:c>
      <x:c r="H4" s="39" t="n">
        <x:v>103735</x:v>
      </x:c>
      <x:c r="I4" s="39" t="n">
        <x:v>10193</x:v>
      </x:c>
      <x:c r="J4" s="39" t="n">
        <x:v>0</x:v>
      </x:c>
      <x:c r="K4" s="39" t="n">
        <x:v>96</x:v>
      </x:c>
      <x:c r="L4" s="39" t="n">
        <x:v>192</x:v>
      </x:c>
    </x:row>
    <x:row r="5">
      <x:c r="A5" s="30" t="n">
        <x:v>4</x:v>
      </x:c>
      <x:c r="B5" s="30" t="str">
        <x:v>PASS</x:v>
      </x:c>
      <x:c r="C5" s="39" t="n">
        <x:v>10893</x:v>
      </x:c>
      <x:c r="D5" s="39" t="n">
        <x:v>0</x:v>
      </x:c>
      <x:c r="E5" s="39" t="n">
        <x:v>10153</x:v>
      </x:c>
      <x:c r="F5" s="39" t="n">
        <x:v>10542</x:v>
      </x:c>
      <x:c r="G5" s="39" t="n">
        <x:v>0</x:v>
      </x:c>
      <x:c r="H5" s="39" t="n">
        <x:v>203827</x:v>
      </x:c>
      <x:c r="I5" s="39" t="n">
        <x:v>10542</x:v>
      </x:c>
      <x:c r="J5" s="39" t="n">
        <x:v>0</x:v>
      </x:c>
      <x:c r="K5" s="39" t="n">
        <x:v>288</x:v>
      </x:c>
      <x:c r="L5" s="39" t="n">
        <x:v>192</x:v>
      </x:c>
    </x:row>
    <x:row r="6">
      <x:c r="A6" s="30" t="n">
        <x:v>5</x:v>
      </x:c>
      <x:c r="B6" s="30" t="str">
        <x:v>PASS</x:v>
      </x:c>
      <x:c r="C6" s="39" t="n">
        <x:v>117327</x:v>
      </x:c>
      <x:c r="D6" s="39" t="n">
        <x:v>0</x:v>
      </x:c>
      <x:c r="E6" s="39" t="n">
        <x:v>115443</x:v>
      </x:c>
      <x:c r="F6" s="39" t="n">
        <x:v>116645</x:v>
      </x:c>
      <x:c r="G6" s="39" t="n">
        <x:v>0</x:v>
      </x:c>
      <x:c r="H6" s="39" t="n">
        <x:v>685654</x:v>
      </x:c>
      <x:c r="I6" s="39" t="n">
        <x:v>116645</x:v>
      </x:c>
      <x:c r="J6" s="39" t="n">
        <x:v>0</x:v>
      </x:c>
      <x:c r="K6" s="39" t="n">
        <x:v>260</x:v>
      </x:c>
      <x:c r="L6" s="39" t="n">
        <x:v>132</x:v>
      </x:c>
    </x:row>
    <x:row r="7">
      <x:c r="A7" s="30" t="n">
        <x:v>6</x:v>
      </x:c>
      <x:c r="B7" s="30" t="str">
        <x:v>PASS</x:v>
      </x:c>
      <x:c r="C7" s="39" t="n">
        <x:v>312787</x:v>
      </x:c>
      <x:c r="D7" s="39" t="n">
        <x:v>0</x:v>
      </x:c>
      <x:c r="E7" s="39" t="n">
        <x:v>312039</x:v>
      </x:c>
      <x:c r="F7" s="39" t="n">
        <x:v>312057</x:v>
      </x:c>
      <x:c r="G7" s="39" t="n">
        <x:v>0</x:v>
      </x:c>
      <x:c r="H7" s="39" t="n">
        <x:v>3932660</x:v>
      </x:c>
      <x:c r="I7" s="39" t="n">
        <x:v>312057</x:v>
      </x:c>
      <x:c r="J7" s="39" t="n">
        <x:v>0</x:v>
      </x:c>
      <x:c r="K7" s="39" t="n">
        <x:v>8176</x:v>
      </x:c>
      <x:c r="L7" s="39" t="n">
        <x:v>4112</x:v>
      </x:c>
    </x:row>
    <x:row r="8">
      <x:c r="A8" s="30" t="n">
        <x:v>7</x:v>
      </x:c>
      <x:c r="B8" s="30" t="str">
        <x:v>PASS</x:v>
      </x:c>
      <x:c r="C8" s="39" t="n">
        <x:v>117164</x:v>
      </x:c>
      <x:c r="D8" s="39" t="n">
        <x:v>0</x:v>
      </x:c>
      <x:c r="E8" s="39" t="n">
        <x:v>115575</x:v>
      </x:c>
      <x:c r="F8" s="39" t="n">
        <x:v>116487</x:v>
      </x:c>
      <x:c r="G8" s="39" t="n">
        <x:v>0</x:v>
      </x:c>
      <x:c r="H8" s="39" t="n">
        <x:v>677804</x:v>
      </x:c>
      <x:c r="I8" s="39" t="n">
        <x:v>116487</x:v>
      </x:c>
      <x:c r="J8" s="39" t="n">
        <x:v>0</x:v>
      </x:c>
      <x:c r="K8" s="39" t="n">
        <x:v>252</x:v>
      </x:c>
      <x:c r="L8" s="39" t="n">
        <x:v>132</x:v>
      </x:c>
    </x:row>
    <x:row r="9">
      <x:c r="A9" s="30" t="n">
        <x:v>8</x:v>
      </x:c>
      <x:c r="B9" s="30" t="str">
        <x:v>PASS</x:v>
      </x:c>
      <x:c r="C9" s="39" t="n">
        <x:v>22641</x:v>
      </x:c>
      <x:c r="D9" s="39" t="n">
        <x:v>0</x:v>
      </x:c>
      <x:c r="E9" s="39" t="n">
        <x:v>21642</x:v>
      </x:c>
      <x:c r="F9" s="39" t="n">
        <x:v>21508</x:v>
      </x:c>
      <x:c r="G9" s="39" t="n">
        <x:v>0</x:v>
      </x:c>
      <x:c r="H9" s="39" t="n">
        <x:v>258471</x:v>
      </x:c>
      <x:c r="I9" s="39" t="n">
        <x:v>21508</x:v>
      </x:c>
      <x:c r="J9" s="39" t="n">
        <x:v>0</x:v>
      </x:c>
      <x:c r="K9" s="39" t="n">
        <x:v>344</x:v>
      </x:c>
      <x:c r="L9" s="39" t="n">
        <x:v>129</x:v>
      </x:c>
    </x:row>
    <x:row r="10">
      <x:c r="A10" s="30" t="n">
        <x:v>9</x:v>
      </x:c>
      <x:c r="B10" s="30" t="str">
        <x:v>PASS</x:v>
      </x:c>
      <x:c r="C10" s="39" t="n">
        <x:v>63152</x:v>
      </x:c>
      <x:c r="D10" s="39" t="n">
        <x:v>0</x:v>
      </x:c>
      <x:c r="E10" s="39" t="n">
        <x:v>0</x:v>
      </x:c>
      <x:c r="F10" s="39" t="n">
        <x:v>60819</x:v>
      </x:c>
      <x:c r="G10" s="39" t="n">
        <x:v>0</x:v>
      </x:c>
      <x:c r="H10" s="39" t="n">
        <x:v>0</x:v>
      </x:c>
      <x:c r="I10" s="39" t="n">
        <x:v>60819</x:v>
      </x:c>
      <x:c r="J10" s="39" t="n">
        <x:v>0</x:v>
      </x:c>
      <x:c r="K10" s="39" t="n">
        <x:v>0</x:v>
      </x:c>
      <x:c r="L10" s="39" t="n">
        <x:v>2730</x:v>
      </x:c>
    </x:row>
    <x:row r="11">
      <x:c r="A11" s="30" t="n">
        <x:v>10</x:v>
      </x:c>
      <x:c r="B11" s="30" t="str">
        <x:v>PASS</x:v>
      </x:c>
      <x:c r="C11" s="39" t="n">
        <x:v>49465</x:v>
      </x:c>
      <x:c r="D11" s="39" t="n">
        <x:v>0</x:v>
      </x:c>
      <x:c r="E11" s="39" t="n">
        <x:v>48568</x:v>
      </x:c>
      <x:c r="F11" s="39" t="n">
        <x:v>48278</x:v>
      </x:c>
      <x:c r="G11" s="39" t="n">
        <x:v>0</x:v>
      </x:c>
      <x:c r="H11" s="39" t="n">
        <x:v>720327</x:v>
      </x:c>
      <x:c r="I11" s="39" t="n">
        <x:v>48278</x:v>
      </x:c>
      <x:c r="J11" s="39" t="n">
        <x:v>0</x:v>
      </x:c>
      <x:c r="K11" s="39" t="n">
        <x:v>744</x:v>
      </x:c>
      <x:c r="L11" s="39" t="n">
        <x:v>310</x:v>
      </x:c>
    </x:row>
    <x:row r="12">
      <x:c r="A12" s="30" t="n">
        <x:v>11</x:v>
      </x:c>
      <x:c r="B12" s="30" t="str">
        <x:v>PASS</x:v>
      </x:c>
      <x:c r="C12" s="39" t="n">
        <x:v>134715</x:v>
      </x:c>
      <x:c r="D12" s="39" t="n">
        <x:v>0</x:v>
      </x:c>
      <x:c r="E12" s="39" t="n">
        <x:v>133949</x:v>
      </x:c>
      <x:c r="F12" s="39" t="n">
        <x:v>108784</x:v>
      </x:c>
      <x:c r="G12" s="39" t="n">
        <x:v>0</x:v>
      </x:c>
      <x:c r="H12" s="39" t="n">
        <x:v>1559299</x:v>
      </x:c>
      <x:c r="I12" s="39" t="n">
        <x:v>108784</x:v>
      </x:c>
      <x:c r="J12" s="39" t="n">
        <x:v>0</x:v>
      </x:c>
      <x:c r="K12" s="39" t="n">
        <x:v>1792</x:v>
      </x:c>
      <x:c r="L12" s="39" t="n">
        <x:v>768</x:v>
      </x:c>
    </x:row>
    <x:row r="13">
      <x:c r="A13" s="30" t="n">
        <x:v>12</x:v>
      </x:c>
      <x:c r="B13" s="30" t="str">
        <x:v>PASS</x:v>
      </x:c>
      <x:c r="C13" s="39" t="n">
        <x:v>29203</x:v>
      </x:c>
      <x:c r="D13" s="39" t="n">
        <x:v>0</x:v>
      </x:c>
      <x:c r="E13" s="39" t="n">
        <x:v>0</x:v>
      </x:c>
      <x:c r="F13" s="39" t="n">
        <x:v>28847</x:v>
      </x:c>
      <x:c r="G13" s="39" t="n">
        <x:v>0</x:v>
      </x:c>
      <x:c r="H13" s="39" t="n">
        <x:v>0</x:v>
      </x:c>
      <x:c r="I13" s="39" t="n">
        <x:v>28847</x:v>
      </x:c>
      <x:c r="J13" s="39" t="n">
        <x:v>0</x:v>
      </x:c>
      <x:c r="K13" s="39" t="n">
        <x:v>0</x:v>
      </x:c>
      <x:c r="L13" s="39" t="n">
        <x:v>1152</x:v>
      </x:c>
    </x:row>
    <x:row r="14">
      <x:c r="A14" s="30" t="n">
        <x:v>13</x:v>
      </x:c>
      <x:c r="B14" s="30" t="str">
        <x:v>PASS</x:v>
      </x:c>
      <x:c r="C14" s="39" t="n">
        <x:v>218802</x:v>
      </x:c>
      <x:c r="D14" s="39" t="n">
        <x:v>0</x:v>
      </x:c>
      <x:c r="E14" s="39" t="n">
        <x:v>112306</x:v>
      </x:c>
      <x:c r="F14" s="39" t="n">
        <x:v>36757</x:v>
      </x:c>
      <x:c r="G14" s="39" t="n">
        <x:v>0</x:v>
      </x:c>
      <x:c r="H14" s="39" t="n">
        <x:v>313947</x:v>
      </x:c>
      <x:c r="I14" s="39" t="n">
        <x:v>36757</x:v>
      </x:c>
      <x:c r="J14" s="39" t="n">
        <x:v>0</x:v>
      </x:c>
      <x:c r="K14" s="39" t="n">
        <x:v>4992</x:v>
      </x:c>
      <x:c r="L14" s="39" t="n">
        <x:v>1920</x:v>
      </x:c>
    </x:row>
    <x:row r="15">
      <x:c r="A15" s="30" t="n">
        <x:v>14</x:v>
      </x:c>
      <x:c r="B15" s="30" t="str">
        <x:v>PASS</x:v>
      </x:c>
      <x:c r="C15" s="39" t="n">
        <x:v>55757</x:v>
      </x:c>
      <x:c r="D15" s="39" t="n">
        <x:v>0</x:v>
      </x:c>
      <x:c r="E15" s="39" t="n">
        <x:v>26962</x:v>
      </x:c>
      <x:c r="F15" s="39" t="n">
        <x:v>12398</x:v>
      </x:c>
      <x:c r="G15" s="39" t="n">
        <x:v>0</x:v>
      </x:c>
      <x:c r="H15" s="39" t="n">
        <x:v>78112</x:v>
      </x:c>
      <x:c r="I15" s="39" t="n">
        <x:v>12398</x:v>
      </x:c>
      <x:c r="J15" s="39" t="n">
        <x:v>0</x:v>
      </x:c>
      <x:c r="K15" s="39" t="n">
        <x:v>1302</x:v>
      </x:c>
      <x:c r="L15" s="39" t="n">
        <x:v>465</x:v>
      </x:c>
    </x:row>
    <x:row r="16">
      <x:c r="A16" s="30" t="n">
        <x:v>15</x:v>
      </x:c>
      <x:c r="B16" s="30" t="str">
        <x:v>PASS</x:v>
      </x:c>
      <x:c r="C16" s="39" t="n">
        <x:v>776717</x:v>
      </x:c>
      <x:c r="D16" s="39" t="n">
        <x:v>0</x:v>
      </x:c>
      <x:c r="E16" s="39" t="n">
        <x:v>406224</x:v>
      </x:c>
      <x:c r="F16" s="39" t="n">
        <x:v>102967</x:v>
      </x:c>
      <x:c r="G16" s="39" t="n">
        <x:v>0</x:v>
      </x:c>
      <x:c r="H16" s="39" t="n">
        <x:v>1116658</x:v>
      </x:c>
      <x:c r="I16" s="39" t="n">
        <x:v>102967</x:v>
      </x:c>
      <x:c r="J16" s="39" t="n">
        <x:v>0</x:v>
      </x:c>
      <x:c r="K16" s="39" t="n">
        <x:v>17024</x:v>
      </x:c>
      <x:c r="L16" s="39" t="n">
        <x:v>7168</x:v>
      </x:c>
    </x:row>
    <x:row r="17">
      <x:c r="A17" s="30" t="n">
        <x:v>16</x:v>
      </x:c>
      <x:c r="B17" s="30" t="str">
        <x:v>PASS</x:v>
      </x:c>
      <x:c r="C17" s="39" t="n">
        <x:v>183907</x:v>
      </x:c>
      <x:c r="D17" s="39" t="n">
        <x:v>0</x:v>
      </x:c>
      <x:c r="E17" s="39" t="n">
        <x:v>181378</x:v>
      </x:c>
      <x:c r="F17" s="39" t="n">
        <x:v>79813</x:v>
      </x:c>
      <x:c r="G17" s="39" t="n">
        <x:v>0</x:v>
      </x:c>
      <x:c r="H17" s="39" t="n">
        <x:v>1119643</x:v>
      </x:c>
      <x:c r="I17" s="39" t="n">
        <x:v>79813</x:v>
      </x:c>
      <x:c r="J17" s="39" t="n">
        <x:v>0</x:v>
      </x:c>
      <x:c r="K17" s="39" t="n">
        <x:v>4096</x:v>
      </x:c>
      <x:c r="L17" s="39" t="n">
        <x:v>1664</x:v>
      </x:c>
    </x:row>
    <x:row r="18">
      <x:c r="A18" s="30" t="n">
        <x:v>17</x:v>
      </x:c>
      <x:c r="B18" s="30" t="str">
        <x:v>CONFIG_INCOMPLETE</x:v>
      </x:c>
      <x:c r="C18" s="39"/>
      <x:c r="D18" s="39"/>
      <x:c r="E18" s="39"/>
      <x:c r="F18" s="39"/>
      <x:c r="G18" s="39"/>
      <x:c r="H18" s="39"/>
      <x:c r="I18" s="39"/>
      <x:c r="J18" s="39"/>
      <x:c r="K18" s="39"/>
      <x:c r="L18" s="39"/>
    </x:row>
    <x:row r="19">
      <x:c r="A19" s="30" t="n">
        <x:v>18</x:v>
      </x:c>
      <x:c r="B19" s="30" t="str">
        <x:v>PASS</x:v>
      </x:c>
      <x:c r="C19" s="39" t="n">
        <x:v>52080</x:v>
      </x:c>
      <x:c r="D19" s="39" t="n">
        <x:v>0</x:v>
      </x:c>
      <x:c r="E19" s="39" t="n">
        <x:v>41926</x:v>
      </x:c>
      <x:c r="F19" s="39" t="n">
        <x:v>39739</x:v>
      </x:c>
      <x:c r="G19" s="39" t="n">
        <x:v>0</x:v>
      </x:c>
      <x:c r="H19" s="39" t="n">
        <x:v>183843</x:v>
      </x:c>
      <x:c r="I19" s="39" t="n">
        <x:v>39739</x:v>
      </x:c>
      <x:c r="J19" s="39" t="n">
        <x:v>0</x:v>
      </x:c>
      <x:c r="K19" s="39" t="n">
        <x:v>5328</x:v>
      </x:c>
      <x:c r="L19" s="39" t="n">
        <x:v>2832</x:v>
      </x:c>
    </x:row>
    <x:row r="20">
      <x:c r="A20" s="31" t="n">
        <x:v>19</x:v>
      </x:c>
      <x:c r="B20" s="31" t="str">
        <x:v>PASS</x:v>
      </x:c>
      <x:c r="C20" s="40" t="n">
        <x:v>124957</x:v>
      </x:c>
      <x:c r="D20" s="40" t="n">
        <x:v>0</x:v>
      </x:c>
      <x:c r="E20" s="40" t="n">
        <x:v>0</x:v>
      </x:c>
      <x:c r="F20" s="40" t="n">
        <x:v>124519</x:v>
      </x:c>
      <x:c r="G20" s="40" t="n">
        <x:v>0</x:v>
      </x:c>
      <x:c r="H20" s="40" t="n">
        <x:v>0</x:v>
      </x:c>
      <x:c r="I20" s="40" t="n">
        <x:v>124519</x:v>
      </x:c>
      <x:c r="J20" s="40" t="n">
        <x:v>0</x:v>
      </x:c>
      <x:c r="K20" s="40" t="n">
        <x:v>0</x:v>
      </x:c>
      <x:c r="L20" s="40" t="n">
        <x:v>0</x:v>
      </x:c>
    </x:row>
  </x:sheetData>
  <x:conditionalFormatting sqref="B2:B20">
    <x:cfRule type="containsText" dxfId="5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aebd0cbed3cc4110"/>
  </x:tableParts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38" hidden="0" customWidth="1"/>
    <x:col min="4" max="4" width="66" hidden="0" customWidth="1"/>
    <x:col min="5" max="5" width="66" hidden="0" customWidth="1"/>
    <x:col min="6" max="6" width="64" hidden="0" customWidth="1"/>
  </x:cols>
  <x:sheetData>
    <x:row r="2">
      <x:c r="A2" s="1" t="str">
        <x:v>复现信息与产物路径</x:v>
      </x:c>
      <x:c r="B2" s="1"/>
      <x:c r="C2" s="1"/>
      <x:c r="D2" s="1"/>
      <x:c r="E2" s="1"/>
      <x:c r="F2" s="1"/>
    </x:row>
    <x:row r="4">
      <x:c r="A4" s="53" t="str">
        <x:v>repo_commit</x:v>
      </x:c>
      <x:c r="B4" s="54" t="str">
        <x:v>8bb916b559c3c5e93c8b99c80030ed375a6c8e7a</x:v>
      </x:c>
    </x:row>
    <x:row r="5">
      <x:c r="A5" s="53" t="str">
        <x:v>compiler_commit</x:v>
      </x:c>
      <x:c r="B5" s="54" t="str">
        <x:v>e6a31efb4cfb17f1f1c33265cbf6dbb61bbba156</x:v>
      </x:c>
    </x:row>
    <x:row r="6">
      <x:c r="A6" s="53" t="str">
        <x:v>model_commit</x:v>
      </x:c>
      <x:c r="B6" s="54" t="str">
        <x:v>25bc5757a7cae873139b6935fe3866f125604089</x:v>
      </x:c>
    </x:row>
    <x:row r="7">
      <x:c r="A7" s="53" t="str">
        <x:v>compiler_dir</x:v>
      </x:c>
      <x:c r="B7" s="54" t="str">
        <x:v>/Users/blacktraker/Programming/gitproj/DV4/linx-toolchain-build/output/linx_blockisa_llvm_musl/bin</x:v>
      </x:c>
    </x:row>
    <x:row r="8" ht="48" customHeight="1">
      <x:c r="A8" s="53" t="str">
        <x:v>gfsim_args</x:v>
      </x:c>
      <x:c r="B8" s="54" t="str">
        <x:v>-s softcore.multiThreadNum=4 -s cube.enable_internal_acc=true -s bctrl.vec_cell_sched_enable=true -s core.soc_random=true -s core.soc_bw_limit=113 -s core.soc_lat_mean=330 -s core.sharetreg_size_bytes=262144 -s core.sharetreg_ssb_count=64</x:v>
      </x:c>
    </x:row>
    <x:row r="11">
      <x:c r="A11" s="52" t="str">
        <x:v>ID</x:v>
      </x:c>
      <x:c r="B11" s="52" t="str">
        <x:v>状态</x:v>
      </x:c>
      <x:c r="C11" s="52" t="str">
        <x:v>one-level 实现</x:v>
      </x:c>
      <x:c r="D11" s="52" t="str">
        <x:v>ELF</x:v>
      </x:c>
      <x:c r="E11" s="52" t="str">
        <x:v>Log</x:v>
      </x:c>
      <x:c r="F11" s="52" t="str">
        <x:v>说明</x:v>
      </x:c>
    </x:row>
    <x:row r="12">
      <x:c r="A12" s="11" t="n">
        <x:v>1</x:v>
      </x:c>
      <x:c r="B12" s="11" t="str">
        <x:v>PASS</x:v>
      </x:c>
      <x:c r="C12" s="11" t="str">
        <x:v>one_level_gelu</x:v>
      </x:c>
      <x:c r="D12" s="11" t="str">
        <x:v>/Users/blacktraker/Programming/gitproj/DV4/SuperNPUBench/outputs/basic_op_perf_20260922/one_level/build/1/1.elf</x:v>
      </x:c>
      <x:c r="E12" s="11" t="str">
        <x:v>/Users/blacktraker/Programming/gitproj/DV4/SuperNPUBench/outputs/basic_op_perf_20260922/one_level/logs/1.gfsim.log</x:v>
      </x:c>
      <x:c r="F12" s="11" t="str"/>
    </x:row>
    <x:row r="13">
      <x:c r="A13" s="30" t="n">
        <x:v>2</x:v>
      </x:c>
      <x:c r="B13" s="30" t="str">
        <x:v>PASS</x:v>
      </x:c>
      <x:c r="C13" s="30" t="str">
        <x:v>one_level_row_reduction</x:v>
      </x:c>
      <x:c r="D13" s="30" t="str">
        <x:v>/Users/blacktraker/Programming/gitproj/DV4/SuperNPUBench/outputs/basic_op_perf_20260922/one_level/build/2/2.elf</x:v>
      </x:c>
      <x:c r="E13" s="30" t="str">
        <x:v>/Users/blacktraker/Programming/gitproj/DV4/SuperNPUBench/outputs/basic_op_perf_20260922/one_level/logs/2.gfsim.log</x:v>
      </x:c>
      <x:c r="F13" s="30" t="str"/>
    </x:row>
    <x:row r="14">
      <x:c r="A14" s="30" t="n">
        <x:v>3</x:v>
      </x:c>
      <x:c r="B14" s="30" t="str">
        <x:v>PASS</x:v>
      </x:c>
      <x:c r="C14" s="30" t="str">
        <x:v>one_level_tcolmax</x:v>
      </x:c>
      <x:c r="D14" s="30" t="str">
        <x:v>/Users/blacktraker/Programming/gitproj/DV4/SuperNPUBench/outputs/basic_op_perf_20260922/one_level/build/3/3.elf</x:v>
      </x:c>
      <x:c r="E14" s="30" t="str">
        <x:v>/Users/blacktraker/Programming/gitproj/DV4/SuperNPUBench/outputs/basic_op_perf_20260922/one_level/logs/3.gfsim.log</x:v>
      </x:c>
      <x:c r="F14" s="30" t="str"/>
    </x:row>
    <x:row r="15">
      <x:c r="A15" s="30" t="n">
        <x:v>4</x:v>
      </x:c>
      <x:c r="B15" s="30" t="str">
        <x:v>PASS</x:v>
      </x:c>
      <x:c r="C15" s="30" t="str">
        <x:v>one_level_tcolsum</x:v>
      </x:c>
      <x:c r="D15" s="30" t="str">
        <x:v>/Users/blacktraker/Programming/gitproj/DV4/SuperNPUBench/outputs/basic_op_perf_20260922/one_level/build/4/4.elf</x:v>
      </x:c>
      <x:c r="E15" s="30" t="str">
        <x:v>/Users/blacktraker/Programming/gitproj/DV4/SuperNPUBench/outputs/basic_op_perf_20260922/one_level/logs/4.gfsim.log</x:v>
      </x:c>
      <x:c r="F15" s="30" t="str"/>
    </x:row>
    <x:row r="16">
      <x:c r="A16" s="30" t="n">
        <x:v>5</x:v>
      </x:c>
      <x:c r="B16" s="30" t="str">
        <x:v>PASS</x:v>
      </x:c>
      <x:c r="C16" s="30" t="str">
        <x:v>one_level_tcolsum</x:v>
      </x:c>
      <x:c r="D16" s="30" t="str">
        <x:v>/Users/blacktraker/Programming/gitproj/DV4/SuperNPUBench/outputs/basic_op_perf_20260922/one_level/build/5/5.elf</x:v>
      </x:c>
      <x:c r="E16" s="30" t="str">
        <x:v>/Users/blacktraker/Programming/gitproj/DV4/SuperNPUBench/outputs/basic_op_perf_20260922/one_level/logs/5.gfsim.log</x:v>
      </x:c>
      <x:c r="F16" s="30" t="str"/>
    </x:row>
    <x:row r="17">
      <x:c r="A17" s="30" t="n">
        <x:v>6</x:v>
      </x:c>
      <x:c r="B17" s="30" t="str">
        <x:v>PASS</x:v>
      </x:c>
      <x:c r="C17" s="30" t="str">
        <x:v>one_level_row_reduction</x:v>
      </x:c>
      <x:c r="D17" s="30" t="str">
        <x:v>/Users/blacktraker/Programming/gitproj/DV4/SuperNPUBench/outputs/basic_op_perf_20260922/one_level/build/6/6.elf</x:v>
      </x:c>
      <x:c r="E17" s="30" t="str">
        <x:v>/Users/blacktraker/Programming/gitproj/DV4/SuperNPUBench/outputs/basic_op_perf_20260922/one_level/logs/6.gfsim.log</x:v>
      </x:c>
      <x:c r="F17" s="30" t="str"/>
    </x:row>
    <x:row r="18">
      <x:c r="A18" s="30" t="n">
        <x:v>7</x:v>
      </x:c>
      <x:c r="B18" s="30" t="str">
        <x:v>PASS</x:v>
      </x:c>
      <x:c r="C18" s="30" t="str">
        <x:v>one_level_tcolmax</x:v>
      </x:c>
      <x:c r="D18" s="30" t="str">
        <x:v>/Users/blacktraker/Programming/gitproj/DV4/SuperNPUBench/outputs/basic_op_perf_20260922/one_level/build/7/7.elf</x:v>
      </x:c>
      <x:c r="E18" s="30" t="str">
        <x:v>/Users/blacktraker/Programming/gitproj/DV4/SuperNPUBench/outputs/basic_op_perf_20260922/one_level/logs/7.gfsim.log</x:v>
      </x:c>
      <x:c r="F18" s="30" t="str"/>
    </x:row>
    <x:row r="19">
      <x:c r="A19" s="30" t="n">
        <x:v>8</x:v>
      </x:c>
      <x:c r="B19" s="30" t="str">
        <x:v>PASS</x:v>
      </x:c>
      <x:c r="C19" s="30" t="str">
        <x:v>one_level_generic_mgather</x:v>
      </x:c>
      <x:c r="D19" s="30" t="str">
        <x:v>/Users/blacktraker/Programming/gitproj/DV4/SuperNPUBench/outputs/basic_op_perf_20260922/one_level/build/8/8.elf</x:v>
      </x:c>
      <x:c r="E19" s="30" t="str">
        <x:v>/Users/blacktraker/Programming/gitproj/DV4/SuperNPUBench/outputs/basic_op_perf_20260922/one_level/logs/8.gfsim.log</x:v>
      </x:c>
      <x:c r="F19" s="30" t="str"/>
    </x:row>
    <x:row r="20">
      <x:c r="A20" s="30" t="n">
        <x:v>9</x:v>
      </x:c>
      <x:c r="B20" s="30" t="str">
        <x:v>PASS</x:v>
      </x:c>
      <x:c r="C20" s="30" t="str">
        <x:v>one_level_vec_load_store</x:v>
      </x:c>
      <x:c r="D20" s="30" t="str">
        <x:v>/Users/blacktraker/Programming/gitproj/DV4/SuperNPUBench/outputs/basic_op_perf_20260922/one_level/build/9/9.elf</x:v>
      </x:c>
      <x:c r="E20" s="30" t="str">
        <x:v>/Users/blacktraker/Programming/gitproj/DV4/SuperNPUBench/outputs/basic_op_perf_20260922/one_level/logs/9.gfsim.log</x:v>
      </x:c>
      <x:c r="F20" s="30" t="str"/>
    </x:row>
    <x:row r="21">
      <x:c r="A21" s="30" t="n">
        <x:v>10</x:v>
      </x:c>
      <x:c r="B21" s="30" t="str">
        <x:v>PASS</x:v>
      </x:c>
      <x:c r="C21" s="30" t="str">
        <x:v>one_level_generic_mgather</x:v>
      </x:c>
      <x:c r="D21" s="30" t="str">
        <x:v>/Users/blacktraker/Programming/gitproj/DV4/SuperNPUBench/outputs/basic_op_perf_20260922/one_level/build/10/10.elf</x:v>
      </x:c>
      <x:c r="E21" s="30" t="str">
        <x:v>/Users/blacktraker/Programming/gitproj/DV4/SuperNPUBench/outputs/basic_op_perf_20260922/one_level/logs/10.gfsim.log</x:v>
      </x:c>
      <x:c r="F21" s="30" t="str"/>
    </x:row>
    <x:row r="22">
      <x:c r="A22" s="30" t="n">
        <x:v>11</x:v>
      </x:c>
      <x:c r="B22" s="30" t="str">
        <x:v>PASS</x:v>
      </x:c>
      <x:c r="C22" s="30" t="str">
        <x:v>one_level_generic_mgather</x:v>
      </x:c>
      <x:c r="D22" s="30" t="str">
        <x:v>/Users/blacktraker/Programming/gitproj/DV4/SuperNPUBench/outputs/basic_op_perf_20260922/one_level/build/11/11.elf</x:v>
      </x:c>
      <x:c r="E22" s="30" t="str">
        <x:v>/Users/blacktraker/Programming/gitproj/DV4/SuperNPUBench/outputs/basic_op_perf_20260922/one_level/logs/11.gfsim.log</x:v>
      </x:c>
      <x:c r="F22" s="30" t="str"/>
    </x:row>
    <x:row r="23">
      <x:c r="A23" s="30" t="n">
        <x:v>12</x:v>
      </x:c>
      <x:c r="B23" s="30" t="str">
        <x:v>PASS</x:v>
      </x:c>
      <x:c r="C23" s="30" t="str">
        <x:v>one_level_vec_load_store</x:v>
      </x:c>
      <x:c r="D23" s="30" t="str">
        <x:v>/Users/blacktraker/Programming/gitproj/DV4/SuperNPUBench/outputs/basic_op_perf_20260922/one_level/build/12/12.elf</x:v>
      </x:c>
      <x:c r="E23" s="30" t="str">
        <x:v>/Users/blacktraker/Programming/gitproj/DV4/SuperNPUBench/outputs/basic_op_perf_20260922/one_level/logs/12.gfsim.log</x:v>
      </x:c>
      <x:c r="F23" s="30" t="str"/>
    </x:row>
    <x:row r="24">
      <x:c r="A24" s="30" t="n">
        <x:v>13</x:v>
      </x:c>
      <x:c r="B24" s="30" t="str">
        <x:v>PASS</x:v>
      </x:c>
      <x:c r="C24" s="30" t="str">
        <x:v>one_level_nd_mgather</x:v>
      </x:c>
      <x:c r="D24" s="30" t="str">
        <x:v>/Users/blacktraker/Programming/gitproj/DV4/SuperNPUBench/outputs/basic_op_perf_20260922/one_level/build/13/13.elf</x:v>
      </x:c>
      <x:c r="E24" s="30" t="str">
        <x:v>/Users/blacktraker/Programming/gitproj/DV4/SuperNPUBench/outputs/basic_op_perf_20260922/one_level/logs/13.gfsim.log</x:v>
      </x:c>
      <x:c r="F24" s="30" t="str"/>
    </x:row>
    <x:row r="25">
      <x:c r="A25" s="30" t="n">
        <x:v>14</x:v>
      </x:c>
      <x:c r="B25" s="30" t="str">
        <x:v>PASS</x:v>
      </x:c>
      <x:c r="C25" s="30" t="str">
        <x:v>one_level_nd_mgather</x:v>
      </x:c>
      <x:c r="D25" s="30" t="str">
        <x:v>/Users/blacktraker/Programming/gitproj/DV4/SuperNPUBench/outputs/basic_op_perf_20260922/one_level/build/14/14.elf</x:v>
      </x:c>
      <x:c r="E25" s="30" t="str">
        <x:v>/Users/blacktraker/Programming/gitproj/DV4/SuperNPUBench/outputs/basic_op_perf_20260922/one_level/logs/14.gfsim.log</x:v>
      </x:c>
      <x:c r="F25" s="30" t="str"/>
    </x:row>
    <x:row r="26">
      <x:c r="A26" s="30" t="n">
        <x:v>15</x:v>
      </x:c>
      <x:c r="B26" s="30" t="str">
        <x:v>PASS</x:v>
      </x:c>
      <x:c r="C26" s="30" t="str">
        <x:v>one_level_nd_mgather</x:v>
      </x:c>
      <x:c r="D26" s="30" t="str">
        <x:v>/Users/blacktraker/Programming/gitproj/DV4/SuperNPUBench/outputs/basic_op_perf_20260922/one_level/build/15/15.elf</x:v>
      </x:c>
      <x:c r="E26" s="30" t="str">
        <x:v>/Users/blacktraker/Programming/gitproj/DV4/SuperNPUBench/outputs/basic_op_perf_20260922/one_level/logs/15.gfsim.log</x:v>
      </x:c>
      <x:c r="F26" s="30" t="str"/>
    </x:row>
    <x:row r="27">
      <x:c r="A27" s="30" t="n">
        <x:v>16</x:v>
      </x:c>
      <x:c r="B27" s="30" t="str">
        <x:v>PASS</x:v>
      </x:c>
      <x:c r="C27" s="30" t="str">
        <x:v>one_level_nd_mgather</x:v>
      </x:c>
      <x:c r="D27" s="30" t="str">
        <x:v>/Users/blacktraker/Programming/gitproj/DV4/SuperNPUBench/outputs/basic_op_perf_20260922/one_level/build/16/16.elf</x:v>
      </x:c>
      <x:c r="E27" s="30" t="str">
        <x:v>/Users/blacktraker/Programming/gitproj/DV4/SuperNPUBench/outputs/basic_op_perf_20260922/one_level/logs/16.gfsim.log</x:v>
      </x:c>
      <x:c r="F27" s="30" t="str"/>
    </x:row>
    <x:row r="28">
      <x:c r="A28" s="30" t="n">
        <x:v>17</x:v>
      </x:c>
      <x:c r="B28" s="30" t="str">
        <x:v>CONFIG_INCOMPLETE</x:v>
      </x:c>
      <x:c r="C28" s="30" t="str">
        <x:v>one_level_concat</x:v>
      </x:c>
      <x:c r="D28" s="30" t="str"/>
      <x:c r="E28" s="30" t="str"/>
      <x:c r="F28" s="30" t="str">
        <x:v>filename does not encode input/output split, concat axis, dtype, or tile size</x:v>
      </x:c>
    </x:row>
    <x:row r="29">
      <x:c r="A29" s="30" t="n">
        <x:v>18</x:v>
      </x:c>
      <x:c r="B29" s="30" t="str">
        <x:v>PASS</x:v>
      </x:c>
      <x:c r="C29" s="30" t="str">
        <x:v>one_level_mgather_murmur</x:v>
      </x:c>
      <x:c r="D29" s="30" t="str">
        <x:v>/Users/blacktraker/Programming/gitproj/DV4/SuperNPUBench/outputs/basic_op_perf_20260922/one_level/build/18/18.elf</x:v>
      </x:c>
      <x:c r="E29" s="30" t="str">
        <x:v>/Users/blacktraker/Programming/gitproj/DV4/SuperNPUBench/outputs/basic_op_perf_20260922/one_level/logs/18.gfsim.log</x:v>
      </x:c>
      <x:c r="F29" s="30" t="str"/>
    </x:row>
    <x:row r="30">
      <x:c r="A30" s="31" t="n">
        <x:v>19</x:v>
      </x:c>
      <x:c r="B30" s="31" t="str">
        <x:v>PASS</x:v>
      </x:c>
      <x:c r="C30" s="31" t="str">
        <x:v>one_level_scalar_threads</x:v>
      </x:c>
      <x:c r="D30" s="31" t="str">
        <x:v>/Users/blacktraker/Programming/gitproj/DV4/SuperNPUBench/outputs/basic_op_perf_20260922/one_level/build/19/19.elf</x:v>
      </x:c>
      <x:c r="E30" s="31" t="str">
        <x:v>/Users/blacktraker/Programming/gitproj/DV4/SuperNPUBench/outputs/basic_op_perf_20260922/one_level/logs/19.gfsim.log</x:v>
      </x:c>
      <x:c r="F30" s="31" t="str"/>
    </x:row>
  </x:sheetData>
  <x:mergeCells>
    <x:mergeCell ref="A2:F2"/>
    <x:mergeCell ref="B4:F4"/>
    <x:mergeCell ref="B5:F5"/>
    <x:mergeCell ref="B6:F6"/>
    <x:mergeCell ref="B7:F7"/>
    <x:mergeCell ref="B8:F8"/>
  </x:mergeCells>
  <x:pageMargins left="0.7" right="0.7" top="0.75" bottom="0.75" header="0.3" footer="0.3"/>
  <x:tableParts count="1">
    <x:tablePart xmlns:r="http://schemas.openxmlformats.org/officeDocument/2006/relationships" r:id="R52b81b58e58a49b8"/>
  </x:tableParts>
</x:worksheet>
</file>